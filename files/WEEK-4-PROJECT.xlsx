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Record" sheetId="1" r:id="rId4"/>
    <sheet state="visible" name="Filtering&amp;Sorting" sheetId="2" r:id="rId5"/>
    <sheet state="visible" name="Department-VLOOKUP" sheetId="3" r:id="rId6"/>
    <sheet state="visible" name="HLOOKUP" sheetId="4" r:id="rId7"/>
    <sheet state="visible" name="XLOOKUP,INDEX &amp; MATCH" sheetId="5" r:id="rId8"/>
  </sheets>
  <definedNames>
    <definedName hidden="1" localSheetId="1" name="_xlnm._FilterDatabase">'Filtering&amp;Sorting'!$A$1:$S$201</definedName>
  </definedNames>
  <calcPr/>
  <extLst>
    <ext uri="GoogleSheetsCustomDataVersion2">
      <go:sheetsCustomData xmlns:go="http://customooxmlschemas.google.com/" r:id="rId9" roundtripDataChecksum="n0mfXJW7Vz+YrVqEg3ak9QxMpQBcthKLHpIDnDpm9G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ID#AAABtMxUQMw
tc={B2A51DD4-8A22-457B-B5A0-1970D9E28E92}    (2025-10-25 19:33:10)
[Threaded comment]
Your version of Excel allows you to read this threaded comment; however, any edits to it will get removed if the file is opened in a newer version of Excel. Learn more: https://go.microsoft.com/fwlink/?linkid=870924
Comment:
    Employee’s age was derived using the DATEDIF function.</t>
      </text>
    </comment>
    <comment authorId="0" ref="T1">
      <text>
        <t xml:space="preserve">======
ID#AAABtMxUQMo
tc={DF66CAE4-E36F-4699-A77D-BD47402B1B2F}    (2025-10-25 19:33:10)
[Threaded comment]
Your version of Excel allows you to read this threaded comment; however, any edits to it will get removed if the file is opened in a newer version of Excel. Learn more: https://go.microsoft.com/fwlink/?linkid=870924
Comment:
    The formula multiplies Salary by the Bonus Rate to determine the bonus amount. An absolute reference ($H$1) locks the rate, while relative references adjust per row.</t>
      </text>
    </comment>
    <comment authorId="0" ref="P1">
      <text>
        <t xml:space="preserve">======
ID#AAABtMxUQMk
tc={F87044B3-5DAA-46F2-BF4D-FDDE7ACC7BFD}    (2025-10-25 19:33:10)
[Threaded comment]
Your version of Excel allows you to read this threaded comment; however, any edits to it will get removed if the file is opened in a newer version of Excel. Learn more: https://go.microsoft.com/fwlink/?linkid=870924
Comment:
    The TEXT function was used to get the name of the months.</t>
      </text>
    </comment>
    <comment authorId="0" ref="S1">
      <text>
        <t xml:space="preserve">======
ID#AAABtMxUQMg
tc={2D74A3F0-19A8-4C08-B97B-3A2531469858}    (2025-10-25 19:33:10)
[Threaded comment]
Your version of Excel allows you to read this threaded comment; however, any edits to it will get removed if the file is opened in a newer version of Excel. Learn more: https://go.microsoft.com/fwlink/?linkid=870924
Comment:
    The OR function verifies whether the employee belongs to either the Sales or IT department.</t>
      </text>
    </comment>
    <comment authorId="0" ref="J1">
      <text>
        <t xml:space="preserve">======
ID#AAABtMxUQMI
tc={22DFF479-9336-4531-BF55-168180A0EE44}    (2025-10-25 19:33:10)
[Threaded comment]
Your version of Excel allows you to read this threaded comment; however, any edits to it will get removed if the file is opened in a newer version of Excel. Learn more: https://go.microsoft.com/fwlink/?linkid=870924
Comment:
    This formula applies the IF function to show “Pass” when the score is 50 or above, and “Fail” otherwise.</t>
      </text>
    </comment>
    <comment authorId="0" ref="L1">
      <text>
        <t xml:space="preserve">======
ID#AAABtMxUQME
tc={BE746BF8-D5EC-4F47-AE31-3FA5DD6922A2}    (2025-10-25 19:33:10)
[Threaded comment]
Your version of Excel allows you to read this threaded comment; however, any edits to it will get removed if the file is opened in a newer version of Excel. Learn more: https://go.microsoft.com/fwlink/?linkid=870924
Comment:
    Here, the LEFT function was used to extract the first three letters of the Department name to form a short code.</t>
      </text>
    </comment>
    <comment authorId="0" ref="M1">
      <text>
        <t xml:space="preserve">======
ID#AAABtMxUQMA
tc={91ECCBB0-4FD6-48F3-B3AE-9D03EA5BE54C}    (2025-10-25 19:33:10)
[Threaded comment]
Your version of Excel allows you to read this threaded comment; however, any edits to it will get removed if the file is opened in a newer version of Excel. Learn more: https://go.microsoft.com/fwlink/?linkid=870924
Comment:
    CONCATENATE function was used to join the first name and last into a single Full Name column.</t>
      </text>
    </comment>
    <comment authorId="0" ref="Q1">
      <text>
        <t xml:space="preserve">======
ID#AAABtMxUQL8
tc={88D24B60-8A6F-44F2-BAB0-713B6CF05CD9}    (2025-10-25 19:33:10)
[Threaded comment]
Your version of Excel allows you to read this threaded comment; however, any edits to it will get removed if the file is opened in a newer version of Excel. Learn more: https://go.microsoft.com/fwlink/?linkid=870924
Comment:
    The DATEDIF function was used again to find total years between Hire Date and TODAY(Employee year of service).</t>
      </text>
    </comment>
    <comment authorId="0" ref="R1">
      <text>
        <t xml:space="preserve">======
ID#AAABtMxUQL4
tc={A32372C8-9F18-48B1-B5C3-E377D70F3A90}    (2025-10-25 19:33:10)
[Threaded comment]
Your version of Excel allows you to read this threaded comment; however, any edits to it will get removed if the file is opened in a newer version of Excel. Learn more: https://go.microsoft.com/fwlink/?linkid=870924
Comment:
    The AND function checks multiple conditions to mark employees as “Eligible” only if Age &gt; 25 and Years of Service &gt; 2.</t>
      </text>
    </comment>
    <comment authorId="0" ref="N1">
      <text>
        <t xml:space="preserve">======
ID#AAABtMxUQL0
tc={2B7AE960-A4A1-4DE1-8A77-37D5222F4839}    (2025-10-25 19:33:10)
[Threaded comment]
Your version of Excel allows you to read this threaded comment; however, any edits to it will get removed if the file is opened in a newer version of Excel. Learn more: https://go.microsoft.com/fwlink/?linkid=870924
Comment:
    LEN function was used to find the length of each employee’s ID.</t>
      </text>
    </comment>
    <comment authorId="0" ref="K1">
      <text>
        <t xml:space="preserve">======
ID#AAABtMxUQLw
tc={55195130-32EE-48B6-AD91-64FE2B70FD89}    (2025-10-25 19:33:10)
[Threaded comment]
Your version of Excel allows you to read this threaded comment; however, any edits to it will get removed if the file is opened in a newer version of Excel. Learn more: https://go.microsoft.com/fwlink/?linkid=870924
Comment:
    Using the IFS function, the performance score was categorized  into four performance levels: Excellent, Good, Average, and Poor.</t>
      </text>
    </comment>
  </commentList>
  <extLst>
    <ext uri="GoogleSheetsCustomDataVersion2">
      <go:sheetsCustomData xmlns:go="http://customooxmlschemas.google.com/" r:id="rId1" roundtripDataSignature="AMtx7mhj02C/4lQoihI9Ivqkk9DzuxKly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======
ID#AAABtMxUQMs
tc={4789B101-65AF-48D3-B1F7-432DF486852F}    (2025-10-25 19:33:10)
[Threaded comment]
Your version of Excel allows you to read this threaded comment; however, any edits to it will get removed if the file is opened in a newer version of Excel. Learn more: https://go.microsoft.com/fwlink/?linkid=870924
Comment:
    The employee list was sorted by Hire Date in ascending order (oldest to newest), and a filter was applied to display only employees with scores above 80 in the Marketing department.</t>
      </text>
    </comment>
  </commentList>
  <extLst>
    <ext uri="GoogleSheetsCustomDataVersion2">
      <go:sheetsCustomData xmlns:go="http://customooxmlschemas.google.com/" r:id="rId1" roundtripDataSignature="AMtx7mhwjRx/ekbIO5uMwx1t8GembexEV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ID#AAABtMxUQMU
tc={ECF76BC6-47A2-4477-8B36-8DA7BE5CF0CB}    (2025-10-25 19:33:10)
[Threaded comment]
Your version of Excel allows you to read this threaded comment; however, any edits to it will get removed if the file is opened in a newer version of Excel. Learn more: https://go.microsoft.com/fwlink/?linkid=870924
Comment:
    The VLOOKUP function was used to return each employee’s Department name based on their ID.</t>
      </text>
    </comment>
  </commentList>
  <extLst>
    <ext uri="GoogleSheetsCustomDataVersion2">
      <go:sheetsCustomData xmlns:go="http://customooxmlschemas.google.com/" r:id="rId1" roundtripDataSignature="AMtx7mia2k2e8VH4owpU+W3Zp/8w53Zgw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ID#AAABtMxUQMc
tc={16C34E39-6A73-4B9E-B91A-CB00910C9A12}    (2025-10-25 19:33:10)
[Threaded comment]
Your version of Excel allows you to read this threaded comment; however, any edits to it will get removed if the file is opened in a newer version of Excel. Learn more: https://go.microsoft.com/fwlink/?linkid=870924
Comment:
    Copied data from the main table and transposed it to rows so the HLOOKUP function could be applied effectively.</t>
      </text>
    </comment>
    <comment authorId="0" ref="B23">
      <text>
        <t xml:space="preserve">======
ID#AAABtMxUQMQ
tc={22D5516C-AB1C-4AD0-A727-C059C967A837}    (2025-10-25 19:33:10)
[Threaded comment]
Your version of Excel allows you to read this threaded comment; however, any edits to it will get removed if the file is opened in a newer version of Excel. Learn more: https://go.microsoft.com/fwlink/?linkid=870924
Comment:
    The HLOOKUP function retrieves each employee’s performance grade from the header row.</t>
      </text>
    </comment>
  </commentList>
  <extLst>
    <ext uri="GoogleSheetsCustomDataVersion2">
      <go:sheetsCustomData xmlns:go="http://customooxmlschemas.google.com/" r:id="rId1" roundtripDataSignature="AMtx7mh+nMO86KJm0F8v1Genp76mqroAx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ID#AAABtMxUQMY
tc={52EE9D86-2AA5-434F-A5DF-C7C2AD4E0C89}    (2025-10-25 19:33:10)
[Threaded comment]
Your version of Excel allows you to read this threaded comment; however, any edits to it will get removed if the file is opened in a newer version of Excel. Learn more: https://go.microsoft.com/fwlink/?linkid=870924
Comment:
    The employee’s job title was retrieved using the XLOOKUP. The XLOOKUP is a more flexible and reliable alternative to the VLOOKUP.</t>
      </text>
    </comment>
    <comment authorId="0" ref="C1">
      <text>
        <t xml:space="preserve">======
ID#AAABtMxUQMM
tc={F3AAF693-CCED-4D78-84D8-F9E50265F1EF}    (2025-10-25 19:33:10)
[Threaded comment]
Your version of Excel allows you to read this threaded comment; however, any edits to it will get removed if the file is opened in a newer version of Excel. Learn more: https://go.microsoft.com/fwlink/?linkid=870924
Comment:
    INDEX and MATCH are combined to retrieve an employee’s score by matching their name, offering greater flexibility than VLOOKUP when columns are rearranged.</t>
      </text>
    </comment>
  </commentList>
  <extLst>
    <ext uri="GoogleSheetsCustomDataVersion2">
      <go:sheetsCustomData xmlns:go="http://customooxmlschemas.google.com/" r:id="rId1" roundtripDataSignature="AMtx7mg6wqVIDeSRlY1Xa3g2CO5Bp2gPxg=="/>
    </ext>
  </extLst>
</comments>
</file>

<file path=xl/sharedStrings.xml><?xml version="1.0" encoding="utf-8"?>
<sst xmlns="http://schemas.openxmlformats.org/spreadsheetml/2006/main" count="2517" uniqueCount="741">
  <si>
    <t>Employee ID</t>
  </si>
  <si>
    <t>First Name</t>
  </si>
  <si>
    <t>Last Name</t>
  </si>
  <si>
    <t>Department</t>
  </si>
  <si>
    <t>Job Title</t>
  </si>
  <si>
    <t>Performance Score</t>
  </si>
  <si>
    <t>Date of Birth</t>
  </si>
  <si>
    <t>Hire Date</t>
  </si>
  <si>
    <t>Salary</t>
  </si>
  <si>
    <t>Comments</t>
  </si>
  <si>
    <t>Performance Grade</t>
  </si>
  <si>
    <t>Department Code</t>
  </si>
  <si>
    <t>Full Name</t>
  </si>
  <si>
    <t>Length of Emp ID</t>
  </si>
  <si>
    <t>Employee Age</t>
  </si>
  <si>
    <t>Months</t>
  </si>
  <si>
    <t>Employee Year of Service</t>
  </si>
  <si>
    <t>Eligibility Status</t>
  </si>
  <si>
    <t>Sales/IT</t>
  </si>
  <si>
    <t>Bonus</t>
  </si>
  <si>
    <t>Bonus Rate=</t>
  </si>
  <si>
    <t>EMP001</t>
  </si>
  <si>
    <t>Michael</t>
  </si>
  <si>
    <t>Wagner</t>
  </si>
  <si>
    <t>IT</t>
  </si>
  <si>
    <t>IT Support</t>
  </si>
  <si>
    <t>EMP002</t>
  </si>
  <si>
    <t>Adam</t>
  </si>
  <si>
    <t>Henry</t>
  </si>
  <si>
    <t>Finance</t>
  </si>
  <si>
    <t>Accountant</t>
  </si>
  <si>
    <t>EMP003</t>
  </si>
  <si>
    <t>Gregory</t>
  </si>
  <si>
    <t>Rojas</t>
  </si>
  <si>
    <t>HR</t>
  </si>
  <si>
    <t>HR Assistant</t>
  </si>
  <si>
    <t>EMP004</t>
  </si>
  <si>
    <t>Joseph</t>
  </si>
  <si>
    <t>Estrada</t>
  </si>
  <si>
    <t>Financial Analyst</t>
  </si>
  <si>
    <t>EMP005</t>
  </si>
  <si>
    <t>Tracie</t>
  </si>
  <si>
    <t>Collins</t>
  </si>
  <si>
    <t>EMP006</t>
  </si>
  <si>
    <t>Jonathon</t>
  </si>
  <si>
    <t>Wright</t>
  </si>
  <si>
    <t>Sales</t>
  </si>
  <si>
    <t>Sales Rep</t>
  </si>
  <si>
    <t>EMP007</t>
  </si>
  <si>
    <t>Christina</t>
  </si>
  <si>
    <t>Haynes</t>
  </si>
  <si>
    <t>EMP008</t>
  </si>
  <si>
    <t>Kelly</t>
  </si>
  <si>
    <t>Account Exec</t>
  </si>
  <si>
    <t>EMP009</t>
  </si>
  <si>
    <t>Mary</t>
  </si>
  <si>
    <t>Torres</t>
  </si>
  <si>
    <t>EMP010</t>
  </si>
  <si>
    <t>David</t>
  </si>
  <si>
    <t>Rodriguez</t>
  </si>
  <si>
    <t>EMP011</t>
  </si>
  <si>
    <t>John</t>
  </si>
  <si>
    <t>Cole</t>
  </si>
  <si>
    <t>EMP012</t>
  </si>
  <si>
    <t>Levine</t>
  </si>
  <si>
    <t>EMP013</t>
  </si>
  <si>
    <t>Samuel</t>
  </si>
  <si>
    <t>Whitney</t>
  </si>
  <si>
    <t>EMP014</t>
  </si>
  <si>
    <t>Dana</t>
  </si>
  <si>
    <t>Hancock</t>
  </si>
  <si>
    <t>HR Manager</t>
  </si>
  <si>
    <t>EMP015</t>
  </si>
  <si>
    <t>Joanne</t>
  </si>
  <si>
    <t>Macdonald</t>
  </si>
  <si>
    <t>Marketing</t>
  </si>
  <si>
    <t>Marketing Officer</t>
  </si>
  <si>
    <t>EMP016</t>
  </si>
  <si>
    <t>Brian</t>
  </si>
  <si>
    <t>Carroll</t>
  </si>
  <si>
    <t>EMP017</t>
  </si>
  <si>
    <t>Teresa</t>
  </si>
  <si>
    <t>Gutierrez</t>
  </si>
  <si>
    <t>EMP018</t>
  </si>
  <si>
    <t>Cowan</t>
  </si>
  <si>
    <t>Brand Manager</t>
  </si>
  <si>
    <t>EMP019</t>
  </si>
  <si>
    <t>Madison</t>
  </si>
  <si>
    <t>Villarreal</t>
  </si>
  <si>
    <t>System Admin</t>
  </si>
  <si>
    <t>EMP020</t>
  </si>
  <si>
    <t>Julie</t>
  </si>
  <si>
    <t>Bryant</t>
  </si>
  <si>
    <t>EMP021</t>
  </si>
  <si>
    <t>Jimmy</t>
  </si>
  <si>
    <t>EMP022</t>
  </si>
  <si>
    <t>Leah</t>
  </si>
  <si>
    <t>Whitehead</t>
  </si>
  <si>
    <t>EMP023</t>
  </si>
  <si>
    <t>Marshall</t>
  </si>
  <si>
    <t>EMP024</t>
  </si>
  <si>
    <t>Robin</t>
  </si>
  <si>
    <t>EMP025</t>
  </si>
  <si>
    <t>Stephanie</t>
  </si>
  <si>
    <t>Simmons</t>
  </si>
  <si>
    <t>EMP026</t>
  </si>
  <si>
    <t>Amanda</t>
  </si>
  <si>
    <t>Zuniga</t>
  </si>
  <si>
    <t>EMP027</t>
  </si>
  <si>
    <t>Kerry</t>
  </si>
  <si>
    <t>Wilkinson</t>
  </si>
  <si>
    <t>EMP028</t>
  </si>
  <si>
    <t>Eileen</t>
  </si>
  <si>
    <t>Martin</t>
  </si>
  <si>
    <t>EMP029</t>
  </si>
  <si>
    <t>Jamie</t>
  </si>
  <si>
    <t>Ellison</t>
  </si>
  <si>
    <t>EMP030</t>
  </si>
  <si>
    <t>Phillip</t>
  </si>
  <si>
    <t>Anderson</t>
  </si>
  <si>
    <t>EMP031</t>
  </si>
  <si>
    <t>Paul</t>
  </si>
  <si>
    <t>Farrell</t>
  </si>
  <si>
    <t>EMP032</t>
  </si>
  <si>
    <t>Charles</t>
  </si>
  <si>
    <t>Myers</t>
  </si>
  <si>
    <t>EMP033</t>
  </si>
  <si>
    <t>Vanessa</t>
  </si>
  <si>
    <t>Ford</t>
  </si>
  <si>
    <t>EMP034</t>
  </si>
  <si>
    <t>Gordon</t>
  </si>
  <si>
    <t>EMP035</t>
  </si>
  <si>
    <t>Kayla</t>
  </si>
  <si>
    <t>Hernandez</t>
  </si>
  <si>
    <t>EMP036</t>
  </si>
  <si>
    <t>Amber</t>
  </si>
  <si>
    <t>Johnson</t>
  </si>
  <si>
    <t>EMP037</t>
  </si>
  <si>
    <t>Jeffrey</t>
  </si>
  <si>
    <t>Little</t>
  </si>
  <si>
    <t>EMP038</t>
  </si>
  <si>
    <t>Megan</t>
  </si>
  <si>
    <t>Stewart</t>
  </si>
  <si>
    <t>EMP039</t>
  </si>
  <si>
    <t>Lisa</t>
  </si>
  <si>
    <t>Rangel</t>
  </si>
  <si>
    <t>EMP040</t>
  </si>
  <si>
    <t>Andrea</t>
  </si>
  <si>
    <t>Herrera</t>
  </si>
  <si>
    <t>EMP041</t>
  </si>
  <si>
    <t>Danielle</t>
  </si>
  <si>
    <t>Howard</t>
  </si>
  <si>
    <t>EMP042</t>
  </si>
  <si>
    <t>Young</t>
  </si>
  <si>
    <t>EMP043</t>
  </si>
  <si>
    <t>Stacey</t>
  </si>
  <si>
    <t>Miranda</t>
  </si>
  <si>
    <t>EMP044</t>
  </si>
  <si>
    <t>Ian</t>
  </si>
  <si>
    <t>Schaefer</t>
  </si>
  <si>
    <t>EMP045</t>
  </si>
  <si>
    <t>Priscilla</t>
  </si>
  <si>
    <t>EMP046</t>
  </si>
  <si>
    <t>Christopher</t>
  </si>
  <si>
    <t>Warren</t>
  </si>
  <si>
    <t>EMP047</t>
  </si>
  <si>
    <t>Jillian</t>
  </si>
  <si>
    <t>Chung</t>
  </si>
  <si>
    <t>EMP048</t>
  </si>
  <si>
    <t>Miguel</t>
  </si>
  <si>
    <t>Jackson</t>
  </si>
  <si>
    <t>EMP049</t>
  </si>
  <si>
    <t>Rachel</t>
  </si>
  <si>
    <t>Blake</t>
  </si>
  <si>
    <t>EMP050</t>
  </si>
  <si>
    <t>EMP051</t>
  </si>
  <si>
    <t>Russell</t>
  </si>
  <si>
    <t>Robinson</t>
  </si>
  <si>
    <t>EMP052</t>
  </si>
  <si>
    <t>Brooke</t>
  </si>
  <si>
    <t>Schroeder</t>
  </si>
  <si>
    <t>EMP053</t>
  </si>
  <si>
    <t>Lorraine</t>
  </si>
  <si>
    <t>Price</t>
  </si>
  <si>
    <t>EMP054</t>
  </si>
  <si>
    <t>Scott</t>
  </si>
  <si>
    <t>Diaz</t>
  </si>
  <si>
    <t>EMP055</t>
  </si>
  <si>
    <t>Kathleen</t>
  </si>
  <si>
    <t>Morris</t>
  </si>
  <si>
    <t>EMP056</t>
  </si>
  <si>
    <t>Jessica</t>
  </si>
  <si>
    <t>Hicks</t>
  </si>
  <si>
    <t>EMP057</t>
  </si>
  <si>
    <t>Dawn</t>
  </si>
  <si>
    <t>Austin</t>
  </si>
  <si>
    <t>EMP058</t>
  </si>
  <si>
    <t>Anna</t>
  </si>
  <si>
    <t>EMP059</t>
  </si>
  <si>
    <t>Wendy</t>
  </si>
  <si>
    <t>Phillips</t>
  </si>
  <si>
    <t>EMP060</t>
  </si>
  <si>
    <t>Misty</t>
  </si>
  <si>
    <t>Parker</t>
  </si>
  <si>
    <t>EMP061</t>
  </si>
  <si>
    <t>Joshua</t>
  </si>
  <si>
    <t>Holt</t>
  </si>
  <si>
    <t>Developer</t>
  </si>
  <si>
    <t>EMP062</t>
  </si>
  <si>
    <t>Amy</t>
  </si>
  <si>
    <t>Moore</t>
  </si>
  <si>
    <t>EMP063</t>
  </si>
  <si>
    <t>Rebecca</t>
  </si>
  <si>
    <t>Ellis</t>
  </si>
  <si>
    <t>EMP064</t>
  </si>
  <si>
    <t>Jennifer</t>
  </si>
  <si>
    <t>Hampton</t>
  </si>
  <si>
    <t>Sales Manager</t>
  </si>
  <si>
    <t>EMP065</t>
  </si>
  <si>
    <t>Anthony</t>
  </si>
  <si>
    <t>Newman</t>
  </si>
  <si>
    <t>EMP066</t>
  </si>
  <si>
    <t>Jonathan</t>
  </si>
  <si>
    <t>Allen</t>
  </si>
  <si>
    <t>EMP067</t>
  </si>
  <si>
    <t>Margaret</t>
  </si>
  <si>
    <t>Smith</t>
  </si>
  <si>
    <t>EMP068</t>
  </si>
  <si>
    <t>Jose</t>
  </si>
  <si>
    <t>Griffin</t>
  </si>
  <si>
    <t>EMP069</t>
  </si>
  <si>
    <t>Hector</t>
  </si>
  <si>
    <t>Cooper</t>
  </si>
  <si>
    <t>EMP070</t>
  </si>
  <si>
    <t>Robert</t>
  </si>
  <si>
    <t>Jones</t>
  </si>
  <si>
    <t>EMP071</t>
  </si>
  <si>
    <t>EMP072</t>
  </si>
  <si>
    <t>Travis</t>
  </si>
  <si>
    <t>Medina</t>
  </si>
  <si>
    <t>EMP073</t>
  </si>
  <si>
    <t>Norton</t>
  </si>
  <si>
    <t>EMP074</t>
  </si>
  <si>
    <t>Cathy</t>
  </si>
  <si>
    <t>Bowen</t>
  </si>
  <si>
    <t>EMP075</t>
  </si>
  <si>
    <t>Richards</t>
  </si>
  <si>
    <t>EMP076</t>
  </si>
  <si>
    <t>Debra</t>
  </si>
  <si>
    <t>Walker</t>
  </si>
  <si>
    <t>EMP077</t>
  </si>
  <si>
    <t>EMP078</t>
  </si>
  <si>
    <t>Jesse</t>
  </si>
  <si>
    <t>Hartman</t>
  </si>
  <si>
    <t>EMP079</t>
  </si>
  <si>
    <t>Ryan</t>
  </si>
  <si>
    <t>Hopkins</t>
  </si>
  <si>
    <t>EMP080</t>
  </si>
  <si>
    <t>Cassandra</t>
  </si>
  <si>
    <t>EMP081</t>
  </si>
  <si>
    <t>Brandi</t>
  </si>
  <si>
    <t>Leon</t>
  </si>
  <si>
    <t>EMP082</t>
  </si>
  <si>
    <t>Miller</t>
  </si>
  <si>
    <t>EMP083</t>
  </si>
  <si>
    <t>Fields</t>
  </si>
  <si>
    <t>EMP084</t>
  </si>
  <si>
    <t>Kristina</t>
  </si>
  <si>
    <t>Grant</t>
  </si>
  <si>
    <t>EMP085</t>
  </si>
  <si>
    <t>Eric</t>
  </si>
  <si>
    <t>Lopez</t>
  </si>
  <si>
    <t>EMP086</t>
  </si>
  <si>
    <t>Brent</t>
  </si>
  <si>
    <t>EMP087</t>
  </si>
  <si>
    <t>Andrew</t>
  </si>
  <si>
    <t>EMP088</t>
  </si>
  <si>
    <t>Levy</t>
  </si>
  <si>
    <t>EMP089</t>
  </si>
  <si>
    <t>Ethan</t>
  </si>
  <si>
    <t>Sutton</t>
  </si>
  <si>
    <t>EMP090</t>
  </si>
  <si>
    <t>Karen</t>
  </si>
  <si>
    <t>EMP091</t>
  </si>
  <si>
    <t>Rodney</t>
  </si>
  <si>
    <t>Gonzales</t>
  </si>
  <si>
    <t>EMP092</t>
  </si>
  <si>
    <t>Lindsey</t>
  </si>
  <si>
    <t>EMP093</t>
  </si>
  <si>
    <t>Troy</t>
  </si>
  <si>
    <t>EMP094</t>
  </si>
  <si>
    <t>EMP095</t>
  </si>
  <si>
    <t>Patel</t>
  </si>
  <si>
    <t>EMP096</t>
  </si>
  <si>
    <t>Morgan</t>
  </si>
  <si>
    <t>Wilcox</t>
  </si>
  <si>
    <t>EMP097</t>
  </si>
  <si>
    <t>Cory</t>
  </si>
  <si>
    <t>Marquez</t>
  </si>
  <si>
    <t>EMP098</t>
  </si>
  <si>
    <t>Shelly</t>
  </si>
  <si>
    <t>EMP099</t>
  </si>
  <si>
    <t>Roger</t>
  </si>
  <si>
    <t>EMP100</t>
  </si>
  <si>
    <t>Tyler</t>
  </si>
  <si>
    <t>Ball</t>
  </si>
  <si>
    <t>EMP101</t>
  </si>
  <si>
    <t>Rogers</t>
  </si>
  <si>
    <t>EMP102</t>
  </si>
  <si>
    <t>Green</t>
  </si>
  <si>
    <t>EMP103</t>
  </si>
  <si>
    <t>Joan</t>
  </si>
  <si>
    <t>EMP104</t>
  </si>
  <si>
    <t>Matthew</t>
  </si>
  <si>
    <t>Frazier</t>
  </si>
  <si>
    <t>EMP105</t>
  </si>
  <si>
    <t>Christine</t>
  </si>
  <si>
    <t>Martinez</t>
  </si>
  <si>
    <t>EMP106</t>
  </si>
  <si>
    <t>EMP107</t>
  </si>
  <si>
    <t>Pratt</t>
  </si>
  <si>
    <t>EMP108</t>
  </si>
  <si>
    <t>Karina</t>
  </si>
  <si>
    <t>Perry</t>
  </si>
  <si>
    <t>EMP109</t>
  </si>
  <si>
    <t>Juan</t>
  </si>
  <si>
    <t>EMP110</t>
  </si>
  <si>
    <t>Kimberly</t>
  </si>
  <si>
    <t>EMP111</t>
  </si>
  <si>
    <t>EMP112</t>
  </si>
  <si>
    <t>EMP113</t>
  </si>
  <si>
    <t>Michele</t>
  </si>
  <si>
    <t>Welch</t>
  </si>
  <si>
    <t>EMP114</t>
  </si>
  <si>
    <t>Navarro</t>
  </si>
  <si>
    <t>EMP115</t>
  </si>
  <si>
    <t>Daniel</t>
  </si>
  <si>
    <t>Flowers</t>
  </si>
  <si>
    <t>EMP116</t>
  </si>
  <si>
    <t>Natasha</t>
  </si>
  <si>
    <t>EMP117</t>
  </si>
  <si>
    <t>Washington</t>
  </si>
  <si>
    <t>EMP118</t>
  </si>
  <si>
    <t>Curtis</t>
  </si>
  <si>
    <t>Palmer</t>
  </si>
  <si>
    <t>EMP119</t>
  </si>
  <si>
    <t>Jill</t>
  </si>
  <si>
    <t>West</t>
  </si>
  <si>
    <t>EMP120</t>
  </si>
  <si>
    <t>Zachary</t>
  </si>
  <si>
    <t>Rasmussen</t>
  </si>
  <si>
    <t>EMP121</t>
  </si>
  <si>
    <t>Raymond</t>
  </si>
  <si>
    <t>Watkins</t>
  </si>
  <si>
    <t>EMP122</t>
  </si>
  <si>
    <t>Cox</t>
  </si>
  <si>
    <t>EMP123</t>
  </si>
  <si>
    <t>Chang</t>
  </si>
  <si>
    <t>EMP124</t>
  </si>
  <si>
    <t>Marcus</t>
  </si>
  <si>
    <t>EMP125</t>
  </si>
  <si>
    <t>Stacy</t>
  </si>
  <si>
    <t>Williams</t>
  </si>
  <si>
    <t>EMP126</t>
  </si>
  <si>
    <t>Moss</t>
  </si>
  <si>
    <t>EMP127</t>
  </si>
  <si>
    <t>Deborah</t>
  </si>
  <si>
    <t>EMP128</t>
  </si>
  <si>
    <t>Katelyn</t>
  </si>
  <si>
    <t>Herring</t>
  </si>
  <si>
    <t>EMP129</t>
  </si>
  <si>
    <t>Stevens</t>
  </si>
  <si>
    <t>EMP130</t>
  </si>
  <si>
    <t>Russo</t>
  </si>
  <si>
    <t>EMP131</t>
  </si>
  <si>
    <t>Osborne</t>
  </si>
  <si>
    <t>EMP132</t>
  </si>
  <si>
    <t>Timothy</t>
  </si>
  <si>
    <t>EMP133</t>
  </si>
  <si>
    <t>EMP134</t>
  </si>
  <si>
    <t>EMP135</t>
  </si>
  <si>
    <t>Ashley</t>
  </si>
  <si>
    <t>Walls</t>
  </si>
  <si>
    <t>EMP136</t>
  </si>
  <si>
    <t>Deanna</t>
  </si>
  <si>
    <t>EMP137</t>
  </si>
  <si>
    <t>EMP138</t>
  </si>
  <si>
    <t>William</t>
  </si>
  <si>
    <t>Coleman</t>
  </si>
  <si>
    <t>EMP139</t>
  </si>
  <si>
    <t>Carly</t>
  </si>
  <si>
    <t>Guerra</t>
  </si>
  <si>
    <t>EMP140</t>
  </si>
  <si>
    <t>Jerry</t>
  </si>
  <si>
    <t>EMP141</t>
  </si>
  <si>
    <t>Morales</t>
  </si>
  <si>
    <t>EMP142</t>
  </si>
  <si>
    <t>Carpenter</t>
  </si>
  <si>
    <t>EMP143</t>
  </si>
  <si>
    <t>Lauren</t>
  </si>
  <si>
    <t>EMP144</t>
  </si>
  <si>
    <t>Taylor</t>
  </si>
  <si>
    <t>Gould</t>
  </si>
  <si>
    <t>EMP145</t>
  </si>
  <si>
    <t>Turner</t>
  </si>
  <si>
    <t>EMP146</t>
  </si>
  <si>
    <t>Tony</t>
  </si>
  <si>
    <t>EMP147</t>
  </si>
  <si>
    <t>Mcneil</t>
  </si>
  <si>
    <t>EMP148</t>
  </si>
  <si>
    <t>Alison</t>
  </si>
  <si>
    <t>Gonzalez</t>
  </si>
  <si>
    <t>EMP149</t>
  </si>
  <si>
    <t>Garcia</t>
  </si>
  <si>
    <t>EMP150</t>
  </si>
  <si>
    <t>Elijah</t>
  </si>
  <si>
    <t>EMP151</t>
  </si>
  <si>
    <t>Gina</t>
  </si>
  <si>
    <t>Murphy</t>
  </si>
  <si>
    <t>EMP152</t>
  </si>
  <si>
    <t>EMP153</t>
  </si>
  <si>
    <t>Fernandez</t>
  </si>
  <si>
    <t>EMP154</t>
  </si>
  <si>
    <t>Drew</t>
  </si>
  <si>
    <t>EMP155</t>
  </si>
  <si>
    <t>Underwood</t>
  </si>
  <si>
    <t>EMP156</t>
  </si>
  <si>
    <t>Brittany</t>
  </si>
  <si>
    <t>Collier</t>
  </si>
  <si>
    <t>EMP157</t>
  </si>
  <si>
    <t>EMP158</t>
  </si>
  <si>
    <t>Holly</t>
  </si>
  <si>
    <t>Thompson</t>
  </si>
  <si>
    <t>EMP159</t>
  </si>
  <si>
    <t>Barry</t>
  </si>
  <si>
    <t>EMP160</t>
  </si>
  <si>
    <t>Pierce</t>
  </si>
  <si>
    <t>EMP161</t>
  </si>
  <si>
    <t>Brown</t>
  </si>
  <si>
    <t>EMP162</t>
  </si>
  <si>
    <t>Mitchell</t>
  </si>
  <si>
    <t>EMP163</t>
  </si>
  <si>
    <t>Nancy</t>
  </si>
  <si>
    <t>Montoya</t>
  </si>
  <si>
    <t>EMP164</t>
  </si>
  <si>
    <t>Reynolds</t>
  </si>
  <si>
    <t>EMP165</t>
  </si>
  <si>
    <t>Ortiz</t>
  </si>
  <si>
    <t>EMP166</t>
  </si>
  <si>
    <t>Melissa</t>
  </si>
  <si>
    <t>Hubbard</t>
  </si>
  <si>
    <t>EMP167</t>
  </si>
  <si>
    <t>Gray</t>
  </si>
  <si>
    <t>EMP168</t>
  </si>
  <si>
    <t>Bruce</t>
  </si>
  <si>
    <t>EMP169</t>
  </si>
  <si>
    <t>Sean</t>
  </si>
  <si>
    <t>Hunt</t>
  </si>
  <si>
    <t>EMP170</t>
  </si>
  <si>
    <t>Aaron</t>
  </si>
  <si>
    <t>Crawford</t>
  </si>
  <si>
    <t>EMP171</t>
  </si>
  <si>
    <t>EMP172</t>
  </si>
  <si>
    <t>EMP173</t>
  </si>
  <si>
    <t>Samantha</t>
  </si>
  <si>
    <t>EMP174</t>
  </si>
  <si>
    <t>Victor</t>
  </si>
  <si>
    <t>EMP175</t>
  </si>
  <si>
    <t>James</t>
  </si>
  <si>
    <t>EMP176</t>
  </si>
  <si>
    <t>Nelson</t>
  </si>
  <si>
    <t>EMP177</t>
  </si>
  <si>
    <t>EMP178</t>
  </si>
  <si>
    <t>Cross</t>
  </si>
  <si>
    <t>EMP179</t>
  </si>
  <si>
    <t>Evan</t>
  </si>
  <si>
    <t>Kent</t>
  </si>
  <si>
    <t>EMP180</t>
  </si>
  <si>
    <t>Donna</t>
  </si>
  <si>
    <t>Hall</t>
  </si>
  <si>
    <t>EMP181</t>
  </si>
  <si>
    <t>Isaac</t>
  </si>
  <si>
    <t>EMP182</t>
  </si>
  <si>
    <t>EMP183</t>
  </si>
  <si>
    <t>Hughes</t>
  </si>
  <si>
    <t>EMP184</t>
  </si>
  <si>
    <t>EMP185</t>
  </si>
  <si>
    <t>Casey</t>
  </si>
  <si>
    <t>EMP186</t>
  </si>
  <si>
    <t>Meagan</t>
  </si>
  <si>
    <t>Clark</t>
  </si>
  <si>
    <t>EMP187</t>
  </si>
  <si>
    <t>Alicia</t>
  </si>
  <si>
    <t>Davis</t>
  </si>
  <si>
    <t>EMP188</t>
  </si>
  <si>
    <t>Peter</t>
  </si>
  <si>
    <t>EMP189</t>
  </si>
  <si>
    <t>Kevin</t>
  </si>
  <si>
    <t>Marsh</t>
  </si>
  <si>
    <t>EMP190</t>
  </si>
  <si>
    <t>EMP191</t>
  </si>
  <si>
    <t>Joyce</t>
  </si>
  <si>
    <t>Morton</t>
  </si>
  <si>
    <t>EMP192</t>
  </si>
  <si>
    <t>Thomas</t>
  </si>
  <si>
    <t>Butler</t>
  </si>
  <si>
    <t>EMP193</t>
  </si>
  <si>
    <t>Roberto</t>
  </si>
  <si>
    <t>Rhodes</t>
  </si>
  <si>
    <t>EMP194</t>
  </si>
  <si>
    <t>EMP195</t>
  </si>
  <si>
    <t>EMP196</t>
  </si>
  <si>
    <t>Chad</t>
  </si>
  <si>
    <t>Nguyen</t>
  </si>
  <si>
    <t>EMP197</t>
  </si>
  <si>
    <t>Maria</t>
  </si>
  <si>
    <t>EMP198</t>
  </si>
  <si>
    <t>Desiree</t>
  </si>
  <si>
    <t>Camacho</t>
  </si>
  <si>
    <t>EMP199</t>
  </si>
  <si>
    <t>Payne</t>
  </si>
  <si>
    <t>EMP200</t>
  </si>
  <si>
    <t>Dept Code</t>
  </si>
  <si>
    <t>Eligibily Status</t>
  </si>
  <si>
    <t>Department Name</t>
  </si>
  <si>
    <t>Michael Wagner</t>
  </si>
  <si>
    <t>Adam Henry</t>
  </si>
  <si>
    <t>Gregory Rojas</t>
  </si>
  <si>
    <t>Joseph Estrada</t>
  </si>
  <si>
    <t>Pass</t>
  </si>
  <si>
    <t>Fail</t>
  </si>
  <si>
    <t>Good</t>
  </si>
  <si>
    <t>Excellent</t>
  </si>
  <si>
    <t>Poor</t>
  </si>
  <si>
    <t>Fin</t>
  </si>
  <si>
    <t>November</t>
  </si>
  <si>
    <t>September</t>
  </si>
  <si>
    <t>June</t>
  </si>
  <si>
    <t>January</t>
  </si>
  <si>
    <t>Not Eligible</t>
  </si>
  <si>
    <t>Eligible</t>
  </si>
  <si>
    <t>True</t>
  </si>
  <si>
    <t>False</t>
  </si>
  <si>
    <t>Grade</t>
  </si>
  <si>
    <t>..</t>
  </si>
  <si>
    <t>Tracie Collins</t>
  </si>
  <si>
    <t>Jonathon Wright</t>
  </si>
  <si>
    <t>Christina Haynes</t>
  </si>
  <si>
    <t>Kelly Henry</t>
  </si>
  <si>
    <t>Mary Torres</t>
  </si>
  <si>
    <t>David Rodriguez</t>
  </si>
  <si>
    <t>John Cole</t>
  </si>
  <si>
    <t>Christina Levine</t>
  </si>
  <si>
    <t>Samuel Whitney</t>
  </si>
  <si>
    <t>Dana Hancock</t>
  </si>
  <si>
    <t>Joanne Macdonald</t>
  </si>
  <si>
    <t>Brian Carroll</t>
  </si>
  <si>
    <t>Teresa Gutierrez</t>
  </si>
  <si>
    <t>David Cowan</t>
  </si>
  <si>
    <t>Madison Villarreal</t>
  </si>
  <si>
    <t>Julie Bryant</t>
  </si>
  <si>
    <t>Jimmy Kelly</t>
  </si>
  <si>
    <t>Leah Whitehead</t>
  </si>
  <si>
    <t>Adam Marshall</t>
  </si>
  <si>
    <t>Robin Collins</t>
  </si>
  <si>
    <t>Stephanie Simmons</t>
  </si>
  <si>
    <t>Amanda Zuniga</t>
  </si>
  <si>
    <t>Kerry Wilkinson</t>
  </si>
  <si>
    <t>Eileen Martin</t>
  </si>
  <si>
    <t>Jamie Ellison</t>
  </si>
  <si>
    <t>Phillip Anderson</t>
  </si>
  <si>
    <t>Paul Farrell</t>
  </si>
  <si>
    <t>Charles Myers</t>
  </si>
  <si>
    <t>Vanessa Ford</t>
  </si>
  <si>
    <t>Joanne Gordon</t>
  </si>
  <si>
    <t>Kayla Hernandez</t>
  </si>
  <si>
    <t>Amber Johnson</t>
  </si>
  <si>
    <t>Jeffrey Little</t>
  </si>
  <si>
    <t>Megan Stewart</t>
  </si>
  <si>
    <t>Lisa Rangel</t>
  </si>
  <si>
    <t>Andrea Herrera</t>
  </si>
  <si>
    <t>Danielle Howard</t>
  </si>
  <si>
    <t>Charles Young</t>
  </si>
  <si>
    <t>Stacey Miranda</t>
  </si>
  <si>
    <t>Ian Schaefer</t>
  </si>
  <si>
    <t>Priscilla Johnson</t>
  </si>
  <si>
    <t>Christopher Warren</t>
  </si>
  <si>
    <t>Jillian Chung</t>
  </si>
  <si>
    <t>Miguel Jackson</t>
  </si>
  <si>
    <t>Rachel Blake</t>
  </si>
  <si>
    <t>Howard Jackson</t>
  </si>
  <si>
    <t>Russell Robinson</t>
  </si>
  <si>
    <t>Brooke Schroeder</t>
  </si>
  <si>
    <t>Lorraine Price</t>
  </si>
  <si>
    <t>Scott Diaz</t>
  </si>
  <si>
    <t>Kathleen Morris</t>
  </si>
  <si>
    <t>Jessica Hicks</t>
  </si>
  <si>
    <t>Dawn Austin</t>
  </si>
  <si>
    <t>Anna Martin</t>
  </si>
  <si>
    <t>Wendy Phillips</t>
  </si>
  <si>
    <t>Misty Parker</t>
  </si>
  <si>
    <t>Joshua Holt</t>
  </si>
  <si>
    <t>Amy Moore</t>
  </si>
  <si>
    <t>Rebecca Ellis</t>
  </si>
  <si>
    <t>Jennifer Hampton</t>
  </si>
  <si>
    <t>Anthony Newman</t>
  </si>
  <si>
    <t>Jonathan Allen</t>
  </si>
  <si>
    <t>Margaret Smith</t>
  </si>
  <si>
    <t>Jose Griffin</t>
  </si>
  <si>
    <t>Hector Cooper</t>
  </si>
  <si>
    <t>Robert Jones</t>
  </si>
  <si>
    <t>Kayla Scott</t>
  </si>
  <si>
    <t>Travis Medina</t>
  </si>
  <si>
    <t>Charles Norton</t>
  </si>
  <si>
    <t>Cathy Bowen</t>
  </si>
  <si>
    <t>Christopher Richards</t>
  </si>
  <si>
    <t>Debra Walker</t>
  </si>
  <si>
    <t>Stephanie Paul</t>
  </si>
  <si>
    <t>Jesse Hartman</t>
  </si>
  <si>
    <t>Ryan Hopkins</t>
  </si>
  <si>
    <t>Cassandra Charles</t>
  </si>
  <si>
    <t>Brandi Leon</t>
  </si>
  <si>
    <t>Dawn Miller</t>
  </si>
  <si>
    <t>Christopher Fields</t>
  </si>
  <si>
    <t>Kristina Grant</t>
  </si>
  <si>
    <t>Eric Lopez</t>
  </si>
  <si>
    <t>Brent Johnson</t>
  </si>
  <si>
    <t>Andrew Richards</t>
  </si>
  <si>
    <t>John Levy</t>
  </si>
  <si>
    <t>Ethan Sutton</t>
  </si>
  <si>
    <t>Karen Allen</t>
  </si>
  <si>
    <t>Rodney Gonzales</t>
  </si>
  <si>
    <t>Lindsey Jones</t>
  </si>
  <si>
    <t>Troy Morris</t>
  </si>
  <si>
    <t>Robin Young</t>
  </si>
  <si>
    <t>Jennifer Patel</t>
  </si>
  <si>
    <t>Morgan Wilcox</t>
  </si>
  <si>
    <t>Cory Marquez</t>
  </si>
  <si>
    <t>Shelly Moore</t>
  </si>
  <si>
    <t>Roger Stewart</t>
  </si>
  <si>
    <t>Tyler Ball</t>
  </si>
  <si>
    <t>Dana Rogers</t>
  </si>
  <si>
    <t>Debra Green</t>
  </si>
  <si>
    <t>Joan Smith</t>
  </si>
  <si>
    <t>Matthew Frazier</t>
  </si>
  <si>
    <t>Christine Martinez</t>
  </si>
  <si>
    <t>Mary Hernandez</t>
  </si>
  <si>
    <t>Christopher Pratt</t>
  </si>
  <si>
    <t>Karina Perry</t>
  </si>
  <si>
    <t>Juan Moore</t>
  </si>
  <si>
    <t>Kimberly Myers</t>
  </si>
  <si>
    <t>Robert Austin</t>
  </si>
  <si>
    <t>David Schroeder</t>
  </si>
  <si>
    <t>Michele Welch</t>
  </si>
  <si>
    <t>Tyler Navarro</t>
  </si>
  <si>
    <t>Daniel Flowers</t>
  </si>
  <si>
    <t>Natasha Smith</t>
  </si>
  <si>
    <t>Samuel Washington</t>
  </si>
  <si>
    <t>Curtis Palmer</t>
  </si>
  <si>
    <t>Jill West</t>
  </si>
  <si>
    <t>Zachary Rasmussen</t>
  </si>
  <si>
    <t>Raymond Watkins</t>
  </si>
  <si>
    <t>Misty Cox</t>
  </si>
  <si>
    <t>Rachel Chang</t>
  </si>
  <si>
    <t>Marcus Moore</t>
  </si>
  <si>
    <t>Stacy Williams</t>
  </si>
  <si>
    <t>Adam Moss</t>
  </si>
  <si>
    <t>Deborah Phillips</t>
  </si>
  <si>
    <t>Katelyn Herring</t>
  </si>
  <si>
    <t>Anna Stevens</t>
  </si>
  <si>
    <t>Anthony Russo</t>
  </si>
  <si>
    <t>Megan Osborne</t>
  </si>
  <si>
    <t>Timothy Cox</t>
  </si>
  <si>
    <t>Paul Whitehead</t>
  </si>
  <si>
    <t>Mary Parker</t>
  </si>
  <si>
    <t>Ashley Walls</t>
  </si>
  <si>
    <t>Deanna Lopez</t>
  </si>
  <si>
    <t>Joshua Torres</t>
  </si>
  <si>
    <t>William Coleman</t>
  </si>
  <si>
    <t>Carly Guerra</t>
  </si>
  <si>
    <t>Jerry Williams</t>
  </si>
  <si>
    <t>Tyler Morales</t>
  </si>
  <si>
    <t>Charles Carpenter</t>
  </si>
  <si>
    <t>Lauren Jones</t>
  </si>
  <si>
    <t>Taylor Gould</t>
  </si>
  <si>
    <t>Whitney Turner</t>
  </si>
  <si>
    <t>Tony Holt</t>
  </si>
  <si>
    <t>David Mcneil</t>
  </si>
  <si>
    <t>Alison Gonzalez</t>
  </si>
  <si>
    <t>Matthew Garcia</t>
  </si>
  <si>
    <t>Elijah Smith</t>
  </si>
  <si>
    <t>Gina Murphy</t>
  </si>
  <si>
    <t>Jeffrey Moore</t>
  </si>
  <si>
    <t>Michael Fernandez</t>
  </si>
  <si>
    <t>Drew Ford</t>
  </si>
  <si>
    <t>Jennifer Underwood</t>
  </si>
  <si>
    <t>Brittany Collier</t>
  </si>
  <si>
    <t>Jerry Turner</t>
  </si>
  <si>
    <t>Holly Thompson</t>
  </si>
  <si>
    <t>Travis Barry</t>
  </si>
  <si>
    <t>Robert Pierce</t>
  </si>
  <si>
    <t>Charles Brown</t>
  </si>
  <si>
    <t>Tyler Mitchell</t>
  </si>
  <si>
    <t>Nancy Montoya</t>
  </si>
  <si>
    <t>Matthew Reynolds</t>
  </si>
  <si>
    <t>Robert Ortiz</t>
  </si>
  <si>
    <t>Melissa Hubbard</t>
  </si>
  <si>
    <t>Curtis Gray</t>
  </si>
  <si>
    <t>Bruce Carroll</t>
  </si>
  <si>
    <t>Sean Hunt</t>
  </si>
  <si>
    <t>Aaron Crawford</t>
  </si>
  <si>
    <t>Scott Johnson</t>
  </si>
  <si>
    <t>Joseph Gray</t>
  </si>
  <si>
    <t>Samantha Johnson</t>
  </si>
  <si>
    <t>Victor Rodriguez</t>
  </si>
  <si>
    <t>James Miller</t>
  </si>
  <si>
    <t>James Nelson</t>
  </si>
  <si>
    <t>James Gonzalez</t>
  </si>
  <si>
    <t>Lindsey Cross</t>
  </si>
  <si>
    <t>Evan Kent</t>
  </si>
  <si>
    <t>Donna Hall</t>
  </si>
  <si>
    <t>Isaac Martinez</t>
  </si>
  <si>
    <t>Stephanie Williams</t>
  </si>
  <si>
    <t>Eric Hughes</t>
  </si>
  <si>
    <t>Michael Anderson</t>
  </si>
  <si>
    <t>Zachary Casey</t>
  </si>
  <si>
    <t>Meagan Clark</t>
  </si>
  <si>
    <t>Alicia Davis</t>
  </si>
  <si>
    <t>Peter Gutierrez</t>
  </si>
  <si>
    <t>Kevin Marsh</t>
  </si>
  <si>
    <t>Michael Parker</t>
  </si>
  <si>
    <t>Joyce Morton</t>
  </si>
  <si>
    <t>Thomas Butler</t>
  </si>
  <si>
    <t>Roberto Rhodes</t>
  </si>
  <si>
    <t>James Jones</t>
  </si>
  <si>
    <t>Jeffrey Smith</t>
  </si>
  <si>
    <t>Chad Nguyen</t>
  </si>
  <si>
    <t>Maria Green</t>
  </si>
  <si>
    <t>Desiree Camacho</t>
  </si>
  <si>
    <t>Debra Payne</t>
  </si>
  <si>
    <t>Lisa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</si>
</sst>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"/>
    <numFmt numFmtId="165" formatCode="&quot;₦&quot;#,##0"/>
    <numFmt numFmtId="166" formatCode="[$$-409]#,##0.00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2" numFmtId="0" xfId="0" applyBorder="1" applyFont="1"/>
    <xf borderId="1" fillId="0" fontId="2" numFmtId="1" xfId="0" applyBorder="1" applyFont="1" applyNumberFormat="1"/>
    <xf borderId="1" fillId="0" fontId="2" numFmtId="14" xfId="0" applyBorder="1" applyFont="1" applyNumberFormat="1"/>
    <xf borderId="1" fillId="0" fontId="2" numFmtId="164" xfId="0" applyBorder="1" applyFont="1" applyNumberFormat="1"/>
    <xf borderId="2" fillId="2" fontId="2" numFmtId="0" xfId="0" applyBorder="1" applyFont="1"/>
    <xf borderId="2" fillId="2" fontId="2" numFmtId="164" xfId="0" applyBorder="1" applyFont="1" applyNumberFormat="1"/>
    <xf borderId="0" fillId="0" fontId="2" numFmtId="165" xfId="0" applyFont="1" applyNumberFormat="1"/>
    <xf borderId="1" fillId="2" fontId="1" numFmtId="0" xfId="0" applyAlignment="1" applyBorder="1" applyFont="1">
      <alignment horizontal="center" vertical="top"/>
    </xf>
    <xf borderId="1" fillId="0" fontId="1" numFmtId="166" xfId="0" applyAlignment="1" applyBorder="1" applyFont="1" applyNumberFormat="1">
      <alignment horizontal="center" vertical="top"/>
    </xf>
    <xf borderId="0" fillId="0" fontId="3" numFmtId="0" xfId="0" applyFont="1"/>
    <xf borderId="0" fillId="0" fontId="2" numFmtId="1" xfId="0" applyFont="1" applyNumberFormat="1"/>
    <xf borderId="0" fillId="0" fontId="2" numFmtId="14" xfId="0" applyFont="1" applyNumberFormat="1"/>
    <xf borderId="1" fillId="2" fontId="2" numFmtId="14" xfId="0" applyBorder="1" applyFont="1" applyNumberFormat="1"/>
    <xf borderId="1" fillId="0" fontId="2" numFmtId="166" xfId="0" applyBorder="1" applyFont="1" applyNumberFormat="1"/>
    <xf borderId="0" fillId="0" fontId="2" numFmtId="166" xfId="0" applyFont="1" applyNumberFormat="1"/>
    <xf borderId="3" fillId="0" fontId="1" numFmtId="0" xfId="0" applyAlignment="1" applyBorder="1" applyFont="1">
      <alignment horizontal="center" vertical="top"/>
    </xf>
    <xf borderId="1" fillId="2" fontId="2" numFmtId="0" xfId="0" applyBorder="1" applyFont="1"/>
    <xf borderId="1" fillId="2" fontId="1" numFmtId="0" xfId="0" applyBorder="1" applyFont="1"/>
    <xf borderId="0" fillId="0" fontId="2" numFmtId="0" xfId="0" applyFont="1"/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2" fontId="2" numFmtId="1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57"/>
    <col customWidth="1" min="3" max="3" width="10.86"/>
    <col customWidth="1" min="4" max="4" width="11.14"/>
    <col customWidth="1" min="5" max="5" width="15.86"/>
    <col customWidth="1" min="6" max="6" width="17.57"/>
    <col customWidth="1" min="7" max="7" width="11.86"/>
    <col customWidth="1" min="8" max="8" width="10.86"/>
    <col customWidth="1" min="9" max="9" width="6.57"/>
    <col customWidth="1" min="10" max="10" width="10.43"/>
    <col customWidth="1" min="11" max="11" width="17.86"/>
    <col customWidth="1" min="12" max="12" width="15.86"/>
    <col customWidth="1" min="13" max="13" width="18.43"/>
    <col customWidth="1" min="14" max="14" width="15.14"/>
    <col customWidth="1" min="15" max="15" width="13.43"/>
    <col customWidth="1" min="16" max="16" width="10.0"/>
    <col customWidth="1" min="17" max="17" width="22.86"/>
    <col customWidth="1" min="18" max="18" width="14.57"/>
    <col customWidth="1" min="19" max="19" width="7.86"/>
    <col customWidth="1" min="20" max="20" width="6.57"/>
    <col customWidth="1" min="21" max="21" width="5.43"/>
    <col customWidth="1" min="22" max="22" width="11.71"/>
    <col customWidth="1" min="23" max="23" width="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1" t="s">
        <v>20</v>
      </c>
      <c r="W1" s="4">
        <v>0.5</v>
      </c>
    </row>
    <row r="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85.0</v>
      </c>
      <c r="G2" s="6">
        <v>33693.0</v>
      </c>
      <c r="H2" s="6">
        <v>45252.0</v>
      </c>
      <c r="I2" s="7">
        <v>8352.0</v>
      </c>
      <c r="J2" s="8" t="str">
        <f t="shared" ref="J2:J201" si="1">IF(F2&gt;=50,"Pass","Fail")</f>
        <v>Pass</v>
      </c>
      <c r="K2" s="8" t="str">
        <f t="array" ref="K2">IFS(F2&gt;=90,"Excellent",F2&gt;=70,"Good",F2&gt;=50,"Average",F2&lt;50,"Poor")</f>
        <v>Good</v>
      </c>
      <c r="L2" s="8" t="str">
        <f t="shared" ref="L2:L201" si="2">LEFT(D2,3)</f>
        <v>IT</v>
      </c>
      <c r="M2" s="8" t="str">
        <f t="shared" ref="M2:M201" si="3">CONCATENATE(B2," ",C2)</f>
        <v>Michael Wagner</v>
      </c>
      <c r="N2" s="8">
        <f t="shared" ref="N2:N201" si="4">LEN(A2)</f>
        <v>6</v>
      </c>
      <c r="O2" s="8">
        <f t="shared" ref="O2:O201" si="5">DATEDIF(G2,TODAY(),"y")</f>
        <v>33</v>
      </c>
      <c r="P2" s="8" t="str">
        <f t="shared" ref="P2:P201" si="6">TEXT(H2,"mmmm")</f>
        <v>November</v>
      </c>
      <c r="Q2" s="8">
        <f t="shared" ref="Q2:Q201" si="7">DATEDIF(H2,TODAY(),"y")</f>
        <v>1</v>
      </c>
      <c r="R2" s="8" t="str">
        <f t="shared" ref="R2:R201" si="8">IF(AND(O2&gt;25,Q2&gt;2),"Eligible","Not Eligible")</f>
        <v>Not Eligible</v>
      </c>
      <c r="S2" s="8" t="str">
        <f t="shared" ref="S2:S201" si="9">IF(OR(D2=$D$7,D2=$D$2),"True","False")</f>
        <v>True</v>
      </c>
      <c r="T2" s="9">
        <f t="shared" ref="T2:T201" si="10">$W$1*I2</f>
        <v>4176</v>
      </c>
      <c r="U2" s="10"/>
    </row>
    <row r="3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5">
        <v>93.0</v>
      </c>
      <c r="G3" s="6">
        <v>32359.0</v>
      </c>
      <c r="H3" s="6">
        <v>45552.0</v>
      </c>
      <c r="I3" s="7">
        <v>5982.0</v>
      </c>
      <c r="J3" s="8" t="str">
        <f t="shared" si="1"/>
        <v>Pass</v>
      </c>
      <c r="K3" s="8" t="str">
        <f t="array" ref="K3">IFS(F3&gt;=90,"Excellent",F3&gt;=70,"Good",F3&gt;=50,"Average",F3&lt;50,"Poor")</f>
        <v>Excellent</v>
      </c>
      <c r="L3" s="8" t="str">
        <f t="shared" si="2"/>
        <v>Fin</v>
      </c>
      <c r="M3" s="8" t="str">
        <f t="shared" si="3"/>
        <v>Adam Henry</v>
      </c>
      <c r="N3" s="8">
        <f t="shared" si="4"/>
        <v>6</v>
      </c>
      <c r="O3" s="8">
        <f t="shared" si="5"/>
        <v>37</v>
      </c>
      <c r="P3" s="8" t="str">
        <f t="shared" si="6"/>
        <v>September</v>
      </c>
      <c r="Q3" s="8">
        <f t="shared" si="7"/>
        <v>1</v>
      </c>
      <c r="R3" s="8" t="str">
        <f t="shared" si="8"/>
        <v>Not Eligible</v>
      </c>
      <c r="S3" s="8" t="str">
        <f t="shared" si="9"/>
        <v>False</v>
      </c>
      <c r="T3" s="9">
        <f t="shared" si="10"/>
        <v>2991</v>
      </c>
      <c r="U3" s="10"/>
    </row>
    <row r="4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5">
        <v>37.0</v>
      </c>
      <c r="G4" s="6">
        <v>36559.0</v>
      </c>
      <c r="H4" s="6">
        <v>43269.0</v>
      </c>
      <c r="I4" s="7">
        <v>5767.0</v>
      </c>
      <c r="J4" s="8" t="str">
        <f t="shared" si="1"/>
        <v>Fail</v>
      </c>
      <c r="K4" s="8" t="str">
        <f t="array" ref="K4">IFS(F4&gt;=90,"Excellent",F4&gt;=70,"Good",F4&gt;=50,"Average",F4&lt;50,"Poor")</f>
        <v>Poor</v>
      </c>
      <c r="L4" s="8" t="str">
        <f t="shared" si="2"/>
        <v>HR</v>
      </c>
      <c r="M4" s="8" t="str">
        <f t="shared" si="3"/>
        <v>Gregory Rojas</v>
      </c>
      <c r="N4" s="8">
        <f t="shared" si="4"/>
        <v>6</v>
      </c>
      <c r="O4" s="8">
        <f t="shared" si="5"/>
        <v>25</v>
      </c>
      <c r="P4" s="8" t="str">
        <f t="shared" si="6"/>
        <v>June</v>
      </c>
      <c r="Q4" s="8">
        <f t="shared" si="7"/>
        <v>7</v>
      </c>
      <c r="R4" s="8" t="str">
        <f t="shared" si="8"/>
        <v>Not Eligible</v>
      </c>
      <c r="S4" s="8" t="str">
        <f t="shared" si="9"/>
        <v>False</v>
      </c>
      <c r="T4" s="9">
        <f t="shared" si="10"/>
        <v>2883.5</v>
      </c>
      <c r="U4" s="10"/>
    </row>
    <row r="5">
      <c r="A5" s="4" t="s">
        <v>36</v>
      </c>
      <c r="B5" s="4" t="s">
        <v>37</v>
      </c>
      <c r="C5" s="4" t="s">
        <v>38</v>
      </c>
      <c r="D5" s="4" t="s">
        <v>29</v>
      </c>
      <c r="E5" s="4" t="s">
        <v>39</v>
      </c>
      <c r="F5" s="5">
        <v>87.0</v>
      </c>
      <c r="G5" s="6">
        <v>31829.0</v>
      </c>
      <c r="H5" s="6">
        <v>43487.0</v>
      </c>
      <c r="I5" s="7">
        <v>5622.0</v>
      </c>
      <c r="J5" s="8" t="str">
        <f t="shared" si="1"/>
        <v>Pass</v>
      </c>
      <c r="K5" s="8" t="str">
        <f t="array" ref="K5">IFS(F5&gt;=90,"Excellent",F5&gt;=70,"Good",F5&gt;=50,"Average",F5&lt;50,"Poor")</f>
        <v>Good</v>
      </c>
      <c r="L5" s="8" t="str">
        <f t="shared" si="2"/>
        <v>Fin</v>
      </c>
      <c r="M5" s="8" t="str">
        <f t="shared" si="3"/>
        <v>Joseph Estrada</v>
      </c>
      <c r="N5" s="8">
        <f t="shared" si="4"/>
        <v>6</v>
      </c>
      <c r="O5" s="8">
        <f t="shared" si="5"/>
        <v>38</v>
      </c>
      <c r="P5" s="8" t="str">
        <f t="shared" si="6"/>
        <v>January</v>
      </c>
      <c r="Q5" s="8">
        <f t="shared" si="7"/>
        <v>6</v>
      </c>
      <c r="R5" s="8" t="str">
        <f t="shared" si="8"/>
        <v>Eligible</v>
      </c>
      <c r="S5" s="8" t="str">
        <f t="shared" si="9"/>
        <v>False</v>
      </c>
      <c r="T5" s="9">
        <f t="shared" si="10"/>
        <v>2811</v>
      </c>
      <c r="U5" s="10"/>
    </row>
    <row r="6">
      <c r="A6" s="4" t="s">
        <v>40</v>
      </c>
      <c r="B6" s="4" t="s">
        <v>41</v>
      </c>
      <c r="C6" s="4" t="s">
        <v>42</v>
      </c>
      <c r="D6" s="4" t="s">
        <v>29</v>
      </c>
      <c r="E6" s="4" t="s">
        <v>30</v>
      </c>
      <c r="F6" s="5">
        <v>63.0</v>
      </c>
      <c r="G6" s="6">
        <v>37665.0</v>
      </c>
      <c r="H6" s="6">
        <v>44509.0</v>
      </c>
      <c r="I6" s="7">
        <v>7037.0</v>
      </c>
      <c r="J6" s="8" t="str">
        <f t="shared" si="1"/>
        <v>Pass</v>
      </c>
      <c r="K6" s="8" t="str">
        <f t="array" ref="K6">IFS(F6&gt;=90,"Excellent",F6&gt;=70,"Good",F6&gt;=50,"Average",F6&lt;50,"Poor")</f>
        <v>Average</v>
      </c>
      <c r="L6" s="8" t="str">
        <f t="shared" si="2"/>
        <v>Fin</v>
      </c>
      <c r="M6" s="8" t="str">
        <f t="shared" si="3"/>
        <v>Tracie Collins</v>
      </c>
      <c r="N6" s="8">
        <f t="shared" si="4"/>
        <v>6</v>
      </c>
      <c r="O6" s="8">
        <f t="shared" si="5"/>
        <v>22</v>
      </c>
      <c r="P6" s="8" t="str">
        <f t="shared" si="6"/>
        <v>November</v>
      </c>
      <c r="Q6" s="8">
        <f t="shared" si="7"/>
        <v>3</v>
      </c>
      <c r="R6" s="8" t="str">
        <f t="shared" si="8"/>
        <v>Not Eligible</v>
      </c>
      <c r="S6" s="8" t="str">
        <f t="shared" si="9"/>
        <v>False</v>
      </c>
      <c r="T6" s="9">
        <f t="shared" si="10"/>
        <v>3518.5</v>
      </c>
      <c r="U6" s="10"/>
    </row>
    <row r="7">
      <c r="A7" s="4" t="s">
        <v>43</v>
      </c>
      <c r="B7" s="4" t="s">
        <v>44</v>
      </c>
      <c r="C7" s="4" t="s">
        <v>45</v>
      </c>
      <c r="D7" s="4" t="s">
        <v>46</v>
      </c>
      <c r="E7" s="4" t="s">
        <v>47</v>
      </c>
      <c r="F7" s="5">
        <v>35.0</v>
      </c>
      <c r="G7" s="6">
        <v>37209.0</v>
      </c>
      <c r="H7" s="6">
        <v>44779.0</v>
      </c>
      <c r="I7" s="7">
        <v>4157.0</v>
      </c>
      <c r="J7" s="8" t="str">
        <f t="shared" si="1"/>
        <v>Fail</v>
      </c>
      <c r="K7" s="8" t="str">
        <f t="array" ref="K7">IFS(F7&gt;=90,"Excellent",F7&gt;=70,"Good",F7&gt;=50,"Average",F7&lt;50,"Poor")</f>
        <v>Poor</v>
      </c>
      <c r="L7" s="8" t="str">
        <f t="shared" si="2"/>
        <v>Sal</v>
      </c>
      <c r="M7" s="8" t="str">
        <f t="shared" si="3"/>
        <v>Jonathon Wright</v>
      </c>
      <c r="N7" s="8">
        <f t="shared" si="4"/>
        <v>6</v>
      </c>
      <c r="O7" s="8">
        <f t="shared" si="5"/>
        <v>23</v>
      </c>
      <c r="P7" s="8" t="str">
        <f t="shared" si="6"/>
        <v>August</v>
      </c>
      <c r="Q7" s="8">
        <f t="shared" si="7"/>
        <v>3</v>
      </c>
      <c r="R7" s="8" t="str">
        <f t="shared" si="8"/>
        <v>Not Eligible</v>
      </c>
      <c r="S7" s="8" t="str">
        <f t="shared" si="9"/>
        <v>True</v>
      </c>
      <c r="T7" s="9">
        <f t="shared" si="10"/>
        <v>2078.5</v>
      </c>
      <c r="U7" s="10"/>
    </row>
    <row r="8">
      <c r="A8" s="4" t="s">
        <v>48</v>
      </c>
      <c r="B8" s="4" t="s">
        <v>49</v>
      </c>
      <c r="C8" s="4" t="s">
        <v>50</v>
      </c>
      <c r="D8" s="4" t="s">
        <v>24</v>
      </c>
      <c r="E8" s="4" t="s">
        <v>25</v>
      </c>
      <c r="F8" s="5">
        <v>100.0</v>
      </c>
      <c r="G8" s="6">
        <v>34445.0</v>
      </c>
      <c r="H8" s="6">
        <v>43110.0</v>
      </c>
      <c r="I8" s="7">
        <v>8025.0</v>
      </c>
      <c r="J8" s="8" t="str">
        <f t="shared" si="1"/>
        <v>Pass</v>
      </c>
      <c r="K8" s="8" t="str">
        <f t="array" ref="K8">IFS(F8&gt;=90,"Excellent",F8&gt;=70,"Good",F8&gt;=50,"Average",F8&lt;50,"Poor")</f>
        <v>Excellent</v>
      </c>
      <c r="L8" s="8" t="str">
        <f t="shared" si="2"/>
        <v>IT</v>
      </c>
      <c r="M8" s="8" t="str">
        <f t="shared" si="3"/>
        <v>Christina Haynes</v>
      </c>
      <c r="N8" s="8">
        <f t="shared" si="4"/>
        <v>6</v>
      </c>
      <c r="O8" s="8">
        <f t="shared" si="5"/>
        <v>31</v>
      </c>
      <c r="P8" s="8" t="str">
        <f t="shared" si="6"/>
        <v>January</v>
      </c>
      <c r="Q8" s="8">
        <f t="shared" si="7"/>
        <v>7</v>
      </c>
      <c r="R8" s="8" t="str">
        <f t="shared" si="8"/>
        <v>Eligible</v>
      </c>
      <c r="S8" s="8" t="str">
        <f t="shared" si="9"/>
        <v>True</v>
      </c>
      <c r="T8" s="9">
        <f t="shared" si="10"/>
        <v>4012.5</v>
      </c>
      <c r="U8" s="10"/>
    </row>
    <row r="9">
      <c r="A9" s="4" t="s">
        <v>51</v>
      </c>
      <c r="B9" s="4" t="s">
        <v>52</v>
      </c>
      <c r="C9" s="4" t="s">
        <v>28</v>
      </c>
      <c r="D9" s="4" t="s">
        <v>46</v>
      </c>
      <c r="E9" s="4" t="s">
        <v>53</v>
      </c>
      <c r="F9" s="5">
        <v>65.0</v>
      </c>
      <c r="G9" s="6">
        <v>36461.0</v>
      </c>
      <c r="H9" s="6">
        <v>44524.0</v>
      </c>
      <c r="I9" s="7">
        <v>4533.0</v>
      </c>
      <c r="J9" s="8" t="str">
        <f t="shared" si="1"/>
        <v>Pass</v>
      </c>
      <c r="K9" s="8" t="str">
        <f t="array" ref="K9">IFS(F9&gt;=90,"Excellent",F9&gt;=70,"Good",F9&gt;=50,"Average",F9&lt;50,"Poor")</f>
        <v>Average</v>
      </c>
      <c r="L9" s="8" t="str">
        <f t="shared" si="2"/>
        <v>Sal</v>
      </c>
      <c r="M9" s="8" t="str">
        <f t="shared" si="3"/>
        <v>Kelly Henry</v>
      </c>
      <c r="N9" s="8">
        <f t="shared" si="4"/>
        <v>6</v>
      </c>
      <c r="O9" s="8">
        <f t="shared" si="5"/>
        <v>26</v>
      </c>
      <c r="P9" s="8" t="str">
        <f t="shared" si="6"/>
        <v>November</v>
      </c>
      <c r="Q9" s="8">
        <f t="shared" si="7"/>
        <v>3</v>
      </c>
      <c r="R9" s="8" t="str">
        <f t="shared" si="8"/>
        <v>Eligible</v>
      </c>
      <c r="S9" s="8" t="str">
        <f t="shared" si="9"/>
        <v>True</v>
      </c>
      <c r="T9" s="9">
        <f t="shared" si="10"/>
        <v>2266.5</v>
      </c>
      <c r="U9" s="10"/>
    </row>
    <row r="10">
      <c r="A10" s="4" t="s">
        <v>54</v>
      </c>
      <c r="B10" s="4" t="s">
        <v>55</v>
      </c>
      <c r="C10" s="4" t="s">
        <v>56</v>
      </c>
      <c r="D10" s="4" t="s">
        <v>29</v>
      </c>
      <c r="E10" s="4" t="s">
        <v>30</v>
      </c>
      <c r="F10" s="5">
        <v>64.0</v>
      </c>
      <c r="G10" s="6">
        <v>34267.0</v>
      </c>
      <c r="H10" s="6">
        <v>42130.0</v>
      </c>
      <c r="I10" s="7">
        <v>9480.0</v>
      </c>
      <c r="J10" s="8" t="str">
        <f t="shared" si="1"/>
        <v>Pass</v>
      </c>
      <c r="K10" s="8" t="str">
        <f t="array" ref="K10">IFS(F10&gt;=90,"Excellent",F10&gt;=70,"Good",F10&gt;=50,"Average",F10&lt;50,"Poor")</f>
        <v>Average</v>
      </c>
      <c r="L10" s="8" t="str">
        <f t="shared" si="2"/>
        <v>Fin</v>
      </c>
      <c r="M10" s="8" t="str">
        <f t="shared" si="3"/>
        <v>Mary Torres</v>
      </c>
      <c r="N10" s="8">
        <f t="shared" si="4"/>
        <v>6</v>
      </c>
      <c r="O10" s="8">
        <f t="shared" si="5"/>
        <v>32</v>
      </c>
      <c r="P10" s="8" t="str">
        <f t="shared" si="6"/>
        <v>May</v>
      </c>
      <c r="Q10" s="8">
        <f t="shared" si="7"/>
        <v>10</v>
      </c>
      <c r="R10" s="8" t="str">
        <f t="shared" si="8"/>
        <v>Eligible</v>
      </c>
      <c r="S10" s="8" t="str">
        <f t="shared" si="9"/>
        <v>False</v>
      </c>
      <c r="T10" s="9">
        <f t="shared" si="10"/>
        <v>4740</v>
      </c>
      <c r="U10" s="10"/>
    </row>
    <row r="11">
      <c r="A11" s="4" t="s">
        <v>57</v>
      </c>
      <c r="B11" s="4" t="s">
        <v>58</v>
      </c>
      <c r="C11" s="4" t="s">
        <v>59</v>
      </c>
      <c r="D11" s="4" t="s">
        <v>29</v>
      </c>
      <c r="E11" s="4" t="s">
        <v>30</v>
      </c>
      <c r="F11" s="5">
        <v>53.0</v>
      </c>
      <c r="G11" s="6">
        <v>37359.0</v>
      </c>
      <c r="H11" s="6">
        <v>42780.0</v>
      </c>
      <c r="I11" s="7">
        <v>7771.0</v>
      </c>
      <c r="J11" s="8" t="str">
        <f t="shared" si="1"/>
        <v>Pass</v>
      </c>
      <c r="K11" s="8" t="str">
        <f t="array" ref="K11">IFS(F11&gt;=90,"Excellent",F11&gt;=70,"Good",F11&gt;=50,"Average",F11&lt;50,"Poor")</f>
        <v>Average</v>
      </c>
      <c r="L11" s="8" t="str">
        <f t="shared" si="2"/>
        <v>Fin</v>
      </c>
      <c r="M11" s="8" t="str">
        <f t="shared" si="3"/>
        <v>David Rodriguez</v>
      </c>
      <c r="N11" s="8">
        <f t="shared" si="4"/>
        <v>6</v>
      </c>
      <c r="O11" s="8">
        <f t="shared" si="5"/>
        <v>23</v>
      </c>
      <c r="P11" s="8" t="str">
        <f t="shared" si="6"/>
        <v>February</v>
      </c>
      <c r="Q11" s="8">
        <f t="shared" si="7"/>
        <v>8</v>
      </c>
      <c r="R11" s="8" t="str">
        <f t="shared" si="8"/>
        <v>Not Eligible</v>
      </c>
      <c r="S11" s="8" t="str">
        <f t="shared" si="9"/>
        <v>False</v>
      </c>
      <c r="T11" s="9">
        <f t="shared" si="10"/>
        <v>3885.5</v>
      </c>
      <c r="U11" s="10"/>
    </row>
    <row r="12">
      <c r="A12" s="4" t="s">
        <v>60</v>
      </c>
      <c r="B12" s="4" t="s">
        <v>61</v>
      </c>
      <c r="C12" s="4" t="s">
        <v>62</v>
      </c>
      <c r="D12" s="4" t="s">
        <v>29</v>
      </c>
      <c r="E12" s="4" t="s">
        <v>30</v>
      </c>
      <c r="F12" s="5">
        <v>62.0</v>
      </c>
      <c r="G12" s="6">
        <v>34343.0</v>
      </c>
      <c r="H12" s="6">
        <v>43058.0</v>
      </c>
      <c r="I12" s="7">
        <v>5076.0</v>
      </c>
      <c r="J12" s="8" t="str">
        <f t="shared" si="1"/>
        <v>Pass</v>
      </c>
      <c r="K12" s="8" t="str">
        <f t="array" ref="K12">IFS(F12&gt;=90,"Excellent",F12&gt;=70,"Good",F12&gt;=50,"Average",F12&lt;50,"Poor")</f>
        <v>Average</v>
      </c>
      <c r="L12" s="8" t="str">
        <f t="shared" si="2"/>
        <v>Fin</v>
      </c>
      <c r="M12" s="8" t="str">
        <f t="shared" si="3"/>
        <v>John Cole</v>
      </c>
      <c r="N12" s="8">
        <f t="shared" si="4"/>
        <v>6</v>
      </c>
      <c r="O12" s="8">
        <f t="shared" si="5"/>
        <v>31</v>
      </c>
      <c r="P12" s="8" t="str">
        <f t="shared" si="6"/>
        <v>November</v>
      </c>
      <c r="Q12" s="8">
        <f t="shared" si="7"/>
        <v>7</v>
      </c>
      <c r="R12" s="8" t="str">
        <f t="shared" si="8"/>
        <v>Eligible</v>
      </c>
      <c r="S12" s="8" t="str">
        <f t="shared" si="9"/>
        <v>False</v>
      </c>
      <c r="T12" s="9">
        <f t="shared" si="10"/>
        <v>2538</v>
      </c>
      <c r="U12" s="10"/>
    </row>
    <row r="13">
      <c r="A13" s="4" t="s">
        <v>63</v>
      </c>
      <c r="B13" s="4" t="s">
        <v>49</v>
      </c>
      <c r="C13" s="4" t="s">
        <v>64</v>
      </c>
      <c r="D13" s="4" t="s">
        <v>34</v>
      </c>
      <c r="E13" s="4" t="s">
        <v>35</v>
      </c>
      <c r="F13" s="5">
        <v>82.0</v>
      </c>
      <c r="G13" s="6">
        <v>32252.0</v>
      </c>
      <c r="H13" s="6">
        <v>41699.0</v>
      </c>
      <c r="I13" s="7">
        <v>4696.0</v>
      </c>
      <c r="J13" s="8" t="str">
        <f t="shared" si="1"/>
        <v>Pass</v>
      </c>
      <c r="K13" s="8" t="str">
        <f t="array" ref="K13">IFS(F13&gt;=90,"Excellent",F13&gt;=70,"Good",F13&gt;=50,"Average",F13&lt;50,"Poor")</f>
        <v>Good</v>
      </c>
      <c r="L13" s="8" t="str">
        <f t="shared" si="2"/>
        <v>HR</v>
      </c>
      <c r="M13" s="8" t="str">
        <f t="shared" si="3"/>
        <v>Christina Levine</v>
      </c>
      <c r="N13" s="8">
        <f t="shared" si="4"/>
        <v>6</v>
      </c>
      <c r="O13" s="8">
        <f t="shared" si="5"/>
        <v>37</v>
      </c>
      <c r="P13" s="8" t="str">
        <f t="shared" si="6"/>
        <v>March</v>
      </c>
      <c r="Q13" s="8">
        <f t="shared" si="7"/>
        <v>11</v>
      </c>
      <c r="R13" s="8" t="str">
        <f t="shared" si="8"/>
        <v>Eligible</v>
      </c>
      <c r="S13" s="8" t="str">
        <f t="shared" si="9"/>
        <v>False</v>
      </c>
      <c r="T13" s="9">
        <f t="shared" si="10"/>
        <v>2348</v>
      </c>
      <c r="U13" s="10"/>
    </row>
    <row r="14">
      <c r="A14" s="4" t="s">
        <v>65</v>
      </c>
      <c r="B14" s="4" t="s">
        <v>66</v>
      </c>
      <c r="C14" s="4" t="s">
        <v>67</v>
      </c>
      <c r="D14" s="4" t="s">
        <v>29</v>
      </c>
      <c r="E14" s="4" t="s">
        <v>39</v>
      </c>
      <c r="F14" s="5">
        <v>87.0</v>
      </c>
      <c r="G14" s="6">
        <v>32623.0</v>
      </c>
      <c r="H14" s="6">
        <v>43975.0</v>
      </c>
      <c r="I14" s="7">
        <v>8784.0</v>
      </c>
      <c r="J14" s="8" t="str">
        <f t="shared" si="1"/>
        <v>Pass</v>
      </c>
      <c r="K14" s="8" t="str">
        <f t="array" ref="K14">IFS(F14&gt;=90,"Excellent",F14&gt;=70,"Good",F14&gt;=50,"Average",F14&lt;50,"Poor")</f>
        <v>Good</v>
      </c>
      <c r="L14" s="8" t="str">
        <f t="shared" si="2"/>
        <v>Fin</v>
      </c>
      <c r="M14" s="8" t="str">
        <f t="shared" si="3"/>
        <v>Samuel Whitney</v>
      </c>
      <c r="N14" s="8">
        <f t="shared" si="4"/>
        <v>6</v>
      </c>
      <c r="O14" s="8">
        <f t="shared" si="5"/>
        <v>36</v>
      </c>
      <c r="P14" s="8" t="str">
        <f t="shared" si="6"/>
        <v>May</v>
      </c>
      <c r="Q14" s="8">
        <f t="shared" si="7"/>
        <v>5</v>
      </c>
      <c r="R14" s="8" t="str">
        <f t="shared" si="8"/>
        <v>Eligible</v>
      </c>
      <c r="S14" s="8" t="str">
        <f t="shared" si="9"/>
        <v>False</v>
      </c>
      <c r="T14" s="9">
        <f t="shared" si="10"/>
        <v>4392</v>
      </c>
      <c r="U14" s="10"/>
    </row>
    <row r="15">
      <c r="A15" s="4" t="s">
        <v>68</v>
      </c>
      <c r="B15" s="4" t="s">
        <v>69</v>
      </c>
      <c r="C15" s="4" t="s">
        <v>70</v>
      </c>
      <c r="D15" s="4" t="s">
        <v>34</v>
      </c>
      <c r="E15" s="4" t="s">
        <v>71</v>
      </c>
      <c r="F15" s="5">
        <v>73.0</v>
      </c>
      <c r="G15" s="6">
        <v>32734.0</v>
      </c>
      <c r="H15" s="6">
        <v>41374.0</v>
      </c>
      <c r="I15" s="7">
        <v>5458.0</v>
      </c>
      <c r="J15" s="8" t="str">
        <f t="shared" si="1"/>
        <v>Pass</v>
      </c>
      <c r="K15" s="8" t="str">
        <f t="array" ref="K15">IFS(F15&gt;=90,"Excellent",F15&gt;=70,"Good",F15&gt;=50,"Average",F15&lt;50,"Poor")</f>
        <v>Good</v>
      </c>
      <c r="L15" s="8" t="str">
        <f t="shared" si="2"/>
        <v>HR</v>
      </c>
      <c r="M15" s="8" t="str">
        <f t="shared" si="3"/>
        <v>Dana Hancock</v>
      </c>
      <c r="N15" s="8">
        <f t="shared" si="4"/>
        <v>6</v>
      </c>
      <c r="O15" s="8">
        <f t="shared" si="5"/>
        <v>36</v>
      </c>
      <c r="P15" s="8" t="str">
        <f t="shared" si="6"/>
        <v>April</v>
      </c>
      <c r="Q15" s="8">
        <f t="shared" si="7"/>
        <v>12</v>
      </c>
      <c r="R15" s="8" t="str">
        <f t="shared" si="8"/>
        <v>Eligible</v>
      </c>
      <c r="S15" s="8" t="str">
        <f t="shared" si="9"/>
        <v>False</v>
      </c>
      <c r="T15" s="9">
        <f t="shared" si="10"/>
        <v>2729</v>
      </c>
      <c r="U15" s="10"/>
    </row>
    <row r="16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  <c r="F16" s="5">
        <v>71.0</v>
      </c>
      <c r="G16" s="6">
        <v>35168.0</v>
      </c>
      <c r="H16" s="6">
        <v>41353.0</v>
      </c>
      <c r="I16" s="7">
        <v>4422.0</v>
      </c>
      <c r="J16" s="8" t="str">
        <f t="shared" si="1"/>
        <v>Pass</v>
      </c>
      <c r="K16" s="8" t="str">
        <f t="array" ref="K16">IFS(F16&gt;=90,"Excellent",F16&gt;=70,"Good",F16&gt;=50,"Average",F16&lt;50,"Poor")</f>
        <v>Good</v>
      </c>
      <c r="L16" s="8" t="str">
        <f t="shared" si="2"/>
        <v>Mar</v>
      </c>
      <c r="M16" s="8" t="str">
        <f t="shared" si="3"/>
        <v>Joanne Macdonald</v>
      </c>
      <c r="N16" s="8">
        <f t="shared" si="4"/>
        <v>6</v>
      </c>
      <c r="O16" s="8">
        <f t="shared" si="5"/>
        <v>29</v>
      </c>
      <c r="P16" s="8" t="str">
        <f t="shared" si="6"/>
        <v>March</v>
      </c>
      <c r="Q16" s="8">
        <f t="shared" si="7"/>
        <v>12</v>
      </c>
      <c r="R16" s="8" t="str">
        <f t="shared" si="8"/>
        <v>Eligible</v>
      </c>
      <c r="S16" s="8" t="str">
        <f t="shared" si="9"/>
        <v>False</v>
      </c>
      <c r="T16" s="9">
        <f t="shared" si="10"/>
        <v>2211</v>
      </c>
      <c r="U16" s="10"/>
    </row>
    <row r="17">
      <c r="A17" s="4" t="s">
        <v>77</v>
      </c>
      <c r="B17" s="4" t="s">
        <v>78</v>
      </c>
      <c r="C17" s="4" t="s">
        <v>79</v>
      </c>
      <c r="D17" s="4" t="s">
        <v>46</v>
      </c>
      <c r="E17" s="4" t="s">
        <v>53</v>
      </c>
      <c r="F17" s="5">
        <v>94.0</v>
      </c>
      <c r="G17" s="6">
        <v>33772.0</v>
      </c>
      <c r="H17" s="6">
        <v>45258.0</v>
      </c>
      <c r="I17" s="7">
        <v>6417.0</v>
      </c>
      <c r="J17" s="8" t="str">
        <f t="shared" si="1"/>
        <v>Pass</v>
      </c>
      <c r="K17" s="8" t="str">
        <f t="array" ref="K17">IFS(F17&gt;=90,"Excellent",F17&gt;=70,"Good",F17&gt;=50,"Average",F17&lt;50,"Poor")</f>
        <v>Excellent</v>
      </c>
      <c r="L17" s="8" t="str">
        <f t="shared" si="2"/>
        <v>Sal</v>
      </c>
      <c r="M17" s="8" t="str">
        <f t="shared" si="3"/>
        <v>Brian Carroll</v>
      </c>
      <c r="N17" s="8">
        <f t="shared" si="4"/>
        <v>6</v>
      </c>
      <c r="O17" s="8">
        <f t="shared" si="5"/>
        <v>33</v>
      </c>
      <c r="P17" s="8" t="str">
        <f t="shared" si="6"/>
        <v>November</v>
      </c>
      <c r="Q17" s="8">
        <f t="shared" si="7"/>
        <v>1</v>
      </c>
      <c r="R17" s="8" t="str">
        <f t="shared" si="8"/>
        <v>Not Eligible</v>
      </c>
      <c r="S17" s="8" t="str">
        <f t="shared" si="9"/>
        <v>True</v>
      </c>
      <c r="T17" s="9">
        <f t="shared" si="10"/>
        <v>3208.5</v>
      </c>
      <c r="U17" s="10"/>
    </row>
    <row r="18">
      <c r="A18" s="4" t="s">
        <v>80</v>
      </c>
      <c r="B18" s="4" t="s">
        <v>81</v>
      </c>
      <c r="C18" s="4" t="s">
        <v>82</v>
      </c>
      <c r="D18" s="4" t="s">
        <v>24</v>
      </c>
      <c r="E18" s="4" t="s">
        <v>25</v>
      </c>
      <c r="F18" s="5">
        <v>87.0</v>
      </c>
      <c r="G18" s="6">
        <v>31285.0</v>
      </c>
      <c r="H18" s="6">
        <v>41312.0</v>
      </c>
      <c r="I18" s="7">
        <v>6214.0</v>
      </c>
      <c r="J18" s="8" t="str">
        <f t="shared" si="1"/>
        <v>Pass</v>
      </c>
      <c r="K18" s="8" t="str">
        <f t="array" ref="K18">IFS(F18&gt;=90,"Excellent",F18&gt;=70,"Good",F18&gt;=50,"Average",F18&lt;50,"Poor")</f>
        <v>Good</v>
      </c>
      <c r="L18" s="8" t="str">
        <f t="shared" si="2"/>
        <v>IT</v>
      </c>
      <c r="M18" s="8" t="str">
        <f t="shared" si="3"/>
        <v>Teresa Gutierrez</v>
      </c>
      <c r="N18" s="8">
        <f t="shared" si="4"/>
        <v>6</v>
      </c>
      <c r="O18" s="8">
        <f t="shared" si="5"/>
        <v>40</v>
      </c>
      <c r="P18" s="8" t="str">
        <f t="shared" si="6"/>
        <v>February</v>
      </c>
      <c r="Q18" s="8">
        <f t="shared" si="7"/>
        <v>12</v>
      </c>
      <c r="R18" s="8" t="str">
        <f t="shared" si="8"/>
        <v>Eligible</v>
      </c>
      <c r="S18" s="8" t="str">
        <f t="shared" si="9"/>
        <v>True</v>
      </c>
      <c r="T18" s="9">
        <f t="shared" si="10"/>
        <v>3107</v>
      </c>
      <c r="U18" s="10"/>
    </row>
    <row r="19">
      <c r="A19" s="4" t="s">
        <v>83</v>
      </c>
      <c r="B19" s="4" t="s">
        <v>58</v>
      </c>
      <c r="C19" s="4" t="s">
        <v>84</v>
      </c>
      <c r="D19" s="4" t="s">
        <v>75</v>
      </c>
      <c r="E19" s="4" t="s">
        <v>85</v>
      </c>
      <c r="F19" s="5">
        <v>65.0</v>
      </c>
      <c r="G19" s="6">
        <v>31429.0</v>
      </c>
      <c r="H19" s="6">
        <v>42595.0</v>
      </c>
      <c r="I19" s="7">
        <v>6043.0</v>
      </c>
      <c r="J19" s="8" t="str">
        <f t="shared" si="1"/>
        <v>Pass</v>
      </c>
      <c r="K19" s="8" t="str">
        <f t="array" ref="K19">IFS(F19&gt;=90,"Excellent",F19&gt;=70,"Good",F19&gt;=50,"Average",F19&lt;50,"Poor")</f>
        <v>Average</v>
      </c>
      <c r="L19" s="8" t="str">
        <f t="shared" si="2"/>
        <v>Mar</v>
      </c>
      <c r="M19" s="8" t="str">
        <f t="shared" si="3"/>
        <v>David Cowan</v>
      </c>
      <c r="N19" s="8">
        <f t="shared" si="4"/>
        <v>6</v>
      </c>
      <c r="O19" s="8">
        <f t="shared" si="5"/>
        <v>39</v>
      </c>
      <c r="P19" s="8" t="str">
        <f t="shared" si="6"/>
        <v>August</v>
      </c>
      <c r="Q19" s="8">
        <f t="shared" si="7"/>
        <v>9</v>
      </c>
      <c r="R19" s="8" t="str">
        <f t="shared" si="8"/>
        <v>Eligible</v>
      </c>
      <c r="S19" s="8" t="str">
        <f t="shared" si="9"/>
        <v>False</v>
      </c>
      <c r="T19" s="9">
        <f t="shared" si="10"/>
        <v>3021.5</v>
      </c>
      <c r="U19" s="10"/>
    </row>
    <row r="20">
      <c r="A20" s="4" t="s">
        <v>86</v>
      </c>
      <c r="B20" s="4" t="s">
        <v>87</v>
      </c>
      <c r="C20" s="4" t="s">
        <v>88</v>
      </c>
      <c r="D20" s="4" t="s">
        <v>24</v>
      </c>
      <c r="E20" s="4" t="s">
        <v>89</v>
      </c>
      <c r="F20" s="5">
        <v>56.0</v>
      </c>
      <c r="G20" s="6">
        <v>31613.0</v>
      </c>
      <c r="H20" s="6">
        <v>43684.0</v>
      </c>
      <c r="I20" s="7">
        <v>8598.0</v>
      </c>
      <c r="J20" s="8" t="str">
        <f t="shared" si="1"/>
        <v>Pass</v>
      </c>
      <c r="K20" s="8" t="str">
        <f t="array" ref="K20">IFS(F20&gt;=90,"Excellent",F20&gt;=70,"Good",F20&gt;=50,"Average",F20&lt;50,"Poor")</f>
        <v>Average</v>
      </c>
      <c r="L20" s="8" t="str">
        <f t="shared" si="2"/>
        <v>IT</v>
      </c>
      <c r="M20" s="8" t="str">
        <f t="shared" si="3"/>
        <v>Madison Villarreal</v>
      </c>
      <c r="N20" s="8">
        <f t="shared" si="4"/>
        <v>6</v>
      </c>
      <c r="O20" s="8">
        <f t="shared" si="5"/>
        <v>39</v>
      </c>
      <c r="P20" s="8" t="str">
        <f t="shared" si="6"/>
        <v>August</v>
      </c>
      <c r="Q20" s="8">
        <f t="shared" si="7"/>
        <v>6</v>
      </c>
      <c r="R20" s="8" t="str">
        <f t="shared" si="8"/>
        <v>Eligible</v>
      </c>
      <c r="S20" s="8" t="str">
        <f t="shared" si="9"/>
        <v>True</v>
      </c>
      <c r="T20" s="9">
        <f t="shared" si="10"/>
        <v>4299</v>
      </c>
      <c r="U20" s="10"/>
    </row>
    <row r="21" ht="15.75" customHeight="1">
      <c r="A21" s="4" t="s">
        <v>90</v>
      </c>
      <c r="B21" s="4" t="s">
        <v>91</v>
      </c>
      <c r="C21" s="4" t="s">
        <v>92</v>
      </c>
      <c r="D21" s="4" t="s">
        <v>24</v>
      </c>
      <c r="E21" s="4" t="s">
        <v>89</v>
      </c>
      <c r="F21" s="5">
        <v>59.0</v>
      </c>
      <c r="G21" s="6">
        <v>31877.0</v>
      </c>
      <c r="H21" s="6">
        <v>43483.0</v>
      </c>
      <c r="I21" s="7">
        <v>7987.0</v>
      </c>
      <c r="J21" s="8" t="str">
        <f t="shared" si="1"/>
        <v>Pass</v>
      </c>
      <c r="K21" s="8" t="str">
        <f t="array" ref="K21">IFS(F21&gt;=90,"Excellent",F21&gt;=70,"Good",F21&gt;=50,"Average",F21&lt;50,"Poor")</f>
        <v>Average</v>
      </c>
      <c r="L21" s="8" t="str">
        <f t="shared" si="2"/>
        <v>IT</v>
      </c>
      <c r="M21" s="8" t="str">
        <f t="shared" si="3"/>
        <v>Julie Bryant</v>
      </c>
      <c r="N21" s="8">
        <f t="shared" si="4"/>
        <v>6</v>
      </c>
      <c r="O21" s="8">
        <f t="shared" si="5"/>
        <v>38</v>
      </c>
      <c r="P21" s="8" t="str">
        <f t="shared" si="6"/>
        <v>January</v>
      </c>
      <c r="Q21" s="8">
        <f t="shared" si="7"/>
        <v>6</v>
      </c>
      <c r="R21" s="8" t="str">
        <f t="shared" si="8"/>
        <v>Eligible</v>
      </c>
      <c r="S21" s="8" t="str">
        <f t="shared" si="9"/>
        <v>True</v>
      </c>
      <c r="T21" s="9">
        <f t="shared" si="10"/>
        <v>3993.5</v>
      </c>
      <c r="U21" s="10"/>
    </row>
    <row r="22" ht="15.75" customHeight="1">
      <c r="A22" s="4" t="s">
        <v>93</v>
      </c>
      <c r="B22" s="4" t="s">
        <v>94</v>
      </c>
      <c r="C22" s="4" t="s">
        <v>52</v>
      </c>
      <c r="D22" s="4" t="s">
        <v>75</v>
      </c>
      <c r="E22" s="4" t="s">
        <v>85</v>
      </c>
      <c r="F22" s="5">
        <v>98.0</v>
      </c>
      <c r="G22" s="6">
        <v>33797.0</v>
      </c>
      <c r="H22" s="6">
        <v>45769.0</v>
      </c>
      <c r="I22" s="7">
        <v>8913.0</v>
      </c>
      <c r="J22" s="8" t="str">
        <f t="shared" si="1"/>
        <v>Pass</v>
      </c>
      <c r="K22" s="8" t="str">
        <f t="array" ref="K22">IFS(F22&gt;=90,"Excellent",F22&gt;=70,"Good",F22&gt;=50,"Average",F22&lt;50,"Poor")</f>
        <v>Excellent</v>
      </c>
      <c r="L22" s="8" t="str">
        <f t="shared" si="2"/>
        <v>Mar</v>
      </c>
      <c r="M22" s="8" t="str">
        <f t="shared" si="3"/>
        <v>Jimmy Kelly</v>
      </c>
      <c r="N22" s="8">
        <f t="shared" si="4"/>
        <v>6</v>
      </c>
      <c r="O22" s="8">
        <f t="shared" si="5"/>
        <v>33</v>
      </c>
      <c r="P22" s="8" t="str">
        <f t="shared" si="6"/>
        <v>April</v>
      </c>
      <c r="Q22" s="8">
        <f t="shared" si="7"/>
        <v>0</v>
      </c>
      <c r="R22" s="8" t="str">
        <f t="shared" si="8"/>
        <v>Not Eligible</v>
      </c>
      <c r="S22" s="8" t="str">
        <f t="shared" si="9"/>
        <v>False</v>
      </c>
      <c r="T22" s="9">
        <f t="shared" si="10"/>
        <v>4456.5</v>
      </c>
      <c r="U22" s="10"/>
    </row>
    <row r="23" ht="15.75" customHeight="1">
      <c r="A23" s="4" t="s">
        <v>95</v>
      </c>
      <c r="B23" s="4" t="s">
        <v>96</v>
      </c>
      <c r="C23" s="4" t="s">
        <v>97</v>
      </c>
      <c r="D23" s="4" t="s">
        <v>29</v>
      </c>
      <c r="E23" s="4" t="s">
        <v>39</v>
      </c>
      <c r="F23" s="5">
        <v>38.0</v>
      </c>
      <c r="G23" s="6">
        <v>36929.0</v>
      </c>
      <c r="H23" s="6">
        <v>44056.0</v>
      </c>
      <c r="I23" s="7">
        <v>8847.0</v>
      </c>
      <c r="J23" s="8" t="str">
        <f t="shared" si="1"/>
        <v>Fail</v>
      </c>
      <c r="K23" s="8" t="str">
        <f t="array" ref="K23">IFS(F23&gt;=90,"Excellent",F23&gt;=70,"Good",F23&gt;=50,"Average",F23&lt;50,"Poor")</f>
        <v>Poor</v>
      </c>
      <c r="L23" s="8" t="str">
        <f t="shared" si="2"/>
        <v>Fin</v>
      </c>
      <c r="M23" s="8" t="str">
        <f t="shared" si="3"/>
        <v>Leah Whitehead</v>
      </c>
      <c r="N23" s="8">
        <f t="shared" si="4"/>
        <v>6</v>
      </c>
      <c r="O23" s="8">
        <f t="shared" si="5"/>
        <v>24</v>
      </c>
      <c r="P23" s="8" t="str">
        <f t="shared" si="6"/>
        <v>August</v>
      </c>
      <c r="Q23" s="8">
        <f t="shared" si="7"/>
        <v>5</v>
      </c>
      <c r="R23" s="8" t="str">
        <f t="shared" si="8"/>
        <v>Not Eligible</v>
      </c>
      <c r="S23" s="8" t="str">
        <f t="shared" si="9"/>
        <v>False</v>
      </c>
      <c r="T23" s="9">
        <f t="shared" si="10"/>
        <v>4423.5</v>
      </c>
      <c r="U23" s="10"/>
    </row>
    <row r="24" ht="15.75" customHeight="1">
      <c r="A24" s="4" t="s">
        <v>98</v>
      </c>
      <c r="B24" s="4" t="s">
        <v>27</v>
      </c>
      <c r="C24" s="4" t="s">
        <v>99</v>
      </c>
      <c r="D24" s="4" t="s">
        <v>46</v>
      </c>
      <c r="E24" s="4" t="s">
        <v>53</v>
      </c>
      <c r="F24" s="5">
        <v>58.0</v>
      </c>
      <c r="G24" s="6">
        <v>37369.0</v>
      </c>
      <c r="H24" s="6">
        <v>44266.0</v>
      </c>
      <c r="I24" s="7">
        <v>7388.0</v>
      </c>
      <c r="J24" s="8" t="str">
        <f t="shared" si="1"/>
        <v>Pass</v>
      </c>
      <c r="K24" s="8" t="str">
        <f t="array" ref="K24">IFS(F24&gt;=90,"Excellent",F24&gt;=70,"Good",F24&gt;=50,"Average",F24&lt;50,"Poor")</f>
        <v>Average</v>
      </c>
      <c r="L24" s="8" t="str">
        <f t="shared" si="2"/>
        <v>Sal</v>
      </c>
      <c r="M24" s="8" t="str">
        <f t="shared" si="3"/>
        <v>Adam Marshall</v>
      </c>
      <c r="N24" s="8">
        <f t="shared" si="4"/>
        <v>6</v>
      </c>
      <c r="O24" s="8">
        <f t="shared" si="5"/>
        <v>23</v>
      </c>
      <c r="P24" s="8" t="str">
        <f t="shared" si="6"/>
        <v>March</v>
      </c>
      <c r="Q24" s="8">
        <f t="shared" si="7"/>
        <v>4</v>
      </c>
      <c r="R24" s="8" t="str">
        <f t="shared" si="8"/>
        <v>Not Eligible</v>
      </c>
      <c r="S24" s="8" t="str">
        <f t="shared" si="9"/>
        <v>True</v>
      </c>
      <c r="T24" s="9">
        <f t="shared" si="10"/>
        <v>3694</v>
      </c>
      <c r="U24" s="10"/>
    </row>
    <row r="25" ht="15.75" customHeight="1">
      <c r="A25" s="4" t="s">
        <v>100</v>
      </c>
      <c r="B25" s="4" t="s">
        <v>101</v>
      </c>
      <c r="C25" s="4" t="s">
        <v>42</v>
      </c>
      <c r="D25" s="4" t="s">
        <v>29</v>
      </c>
      <c r="E25" s="4" t="s">
        <v>39</v>
      </c>
      <c r="F25" s="5">
        <v>65.0</v>
      </c>
      <c r="G25" s="6">
        <v>37609.0</v>
      </c>
      <c r="H25" s="6">
        <v>45676.0</v>
      </c>
      <c r="I25" s="7">
        <v>8284.0</v>
      </c>
      <c r="J25" s="8" t="str">
        <f t="shared" si="1"/>
        <v>Pass</v>
      </c>
      <c r="K25" s="8" t="str">
        <f t="array" ref="K25">IFS(F25&gt;=90,"Excellent",F25&gt;=70,"Good",F25&gt;=50,"Average",F25&lt;50,"Poor")</f>
        <v>Average</v>
      </c>
      <c r="L25" s="8" t="str">
        <f t="shared" si="2"/>
        <v>Fin</v>
      </c>
      <c r="M25" s="8" t="str">
        <f t="shared" si="3"/>
        <v>Robin Collins</v>
      </c>
      <c r="N25" s="8">
        <f t="shared" si="4"/>
        <v>6</v>
      </c>
      <c r="O25" s="8">
        <f t="shared" si="5"/>
        <v>22</v>
      </c>
      <c r="P25" s="8" t="str">
        <f t="shared" si="6"/>
        <v>January</v>
      </c>
      <c r="Q25" s="8">
        <f t="shared" si="7"/>
        <v>0</v>
      </c>
      <c r="R25" s="8" t="str">
        <f t="shared" si="8"/>
        <v>Not Eligible</v>
      </c>
      <c r="S25" s="8" t="str">
        <f t="shared" si="9"/>
        <v>False</v>
      </c>
      <c r="T25" s="9">
        <f t="shared" si="10"/>
        <v>4142</v>
      </c>
      <c r="U25" s="10"/>
    </row>
    <row r="26" ht="15.75" customHeight="1">
      <c r="A26" s="4" t="s">
        <v>102</v>
      </c>
      <c r="B26" s="4" t="s">
        <v>103</v>
      </c>
      <c r="C26" s="4" t="s">
        <v>104</v>
      </c>
      <c r="D26" s="4" t="s">
        <v>34</v>
      </c>
      <c r="E26" s="4" t="s">
        <v>35</v>
      </c>
      <c r="F26" s="5">
        <v>89.0</v>
      </c>
      <c r="G26" s="6">
        <v>37400.0</v>
      </c>
      <c r="H26" s="6">
        <v>45705.0</v>
      </c>
      <c r="I26" s="7">
        <v>6249.0</v>
      </c>
      <c r="J26" s="8" t="str">
        <f t="shared" si="1"/>
        <v>Pass</v>
      </c>
      <c r="K26" s="8" t="str">
        <f t="array" ref="K26">IFS(F26&gt;=90,"Excellent",F26&gt;=70,"Good",F26&gt;=50,"Average",F26&lt;50,"Poor")</f>
        <v>Good</v>
      </c>
      <c r="L26" s="8" t="str">
        <f t="shared" si="2"/>
        <v>HR</v>
      </c>
      <c r="M26" s="8" t="str">
        <f t="shared" si="3"/>
        <v>Stephanie Simmons</v>
      </c>
      <c r="N26" s="8">
        <f t="shared" si="4"/>
        <v>6</v>
      </c>
      <c r="O26" s="8">
        <f t="shared" si="5"/>
        <v>23</v>
      </c>
      <c r="P26" s="8" t="str">
        <f t="shared" si="6"/>
        <v>February</v>
      </c>
      <c r="Q26" s="8">
        <f t="shared" si="7"/>
        <v>0</v>
      </c>
      <c r="R26" s="8" t="str">
        <f t="shared" si="8"/>
        <v>Not Eligible</v>
      </c>
      <c r="S26" s="8" t="str">
        <f t="shared" si="9"/>
        <v>False</v>
      </c>
      <c r="T26" s="9">
        <f t="shared" si="10"/>
        <v>3124.5</v>
      </c>
      <c r="U26" s="10"/>
    </row>
    <row r="27" ht="15.75" customHeight="1">
      <c r="A27" s="4" t="s">
        <v>105</v>
      </c>
      <c r="B27" s="4" t="s">
        <v>106</v>
      </c>
      <c r="C27" s="4" t="s">
        <v>107</v>
      </c>
      <c r="D27" s="4" t="s">
        <v>29</v>
      </c>
      <c r="E27" s="4" t="s">
        <v>30</v>
      </c>
      <c r="F27" s="5">
        <v>51.0</v>
      </c>
      <c r="G27" s="6">
        <v>32403.0</v>
      </c>
      <c r="H27" s="6">
        <v>45318.0</v>
      </c>
      <c r="I27" s="7">
        <v>3378.0</v>
      </c>
      <c r="J27" s="8" t="str">
        <f t="shared" si="1"/>
        <v>Pass</v>
      </c>
      <c r="K27" s="8" t="str">
        <f t="array" ref="K27">IFS(F27&gt;=90,"Excellent",F27&gt;=70,"Good",F27&gt;=50,"Average",F27&lt;50,"Poor")</f>
        <v>Average</v>
      </c>
      <c r="L27" s="8" t="str">
        <f t="shared" si="2"/>
        <v>Fin</v>
      </c>
      <c r="M27" s="8" t="str">
        <f t="shared" si="3"/>
        <v>Amanda Zuniga</v>
      </c>
      <c r="N27" s="8">
        <f t="shared" si="4"/>
        <v>6</v>
      </c>
      <c r="O27" s="8">
        <f t="shared" si="5"/>
        <v>37</v>
      </c>
      <c r="P27" s="8" t="str">
        <f t="shared" si="6"/>
        <v>January</v>
      </c>
      <c r="Q27" s="8">
        <f t="shared" si="7"/>
        <v>1</v>
      </c>
      <c r="R27" s="8" t="str">
        <f t="shared" si="8"/>
        <v>Not Eligible</v>
      </c>
      <c r="S27" s="8" t="str">
        <f t="shared" si="9"/>
        <v>False</v>
      </c>
      <c r="T27" s="9">
        <f t="shared" si="10"/>
        <v>1689</v>
      </c>
      <c r="U27" s="10"/>
    </row>
    <row r="28" ht="15.75" customHeight="1">
      <c r="A28" s="4" t="s">
        <v>108</v>
      </c>
      <c r="B28" s="4" t="s">
        <v>109</v>
      </c>
      <c r="C28" s="4" t="s">
        <v>110</v>
      </c>
      <c r="D28" s="4" t="s">
        <v>34</v>
      </c>
      <c r="E28" s="4" t="s">
        <v>35</v>
      </c>
      <c r="F28" s="5">
        <v>81.0</v>
      </c>
      <c r="G28" s="6">
        <v>36009.0</v>
      </c>
      <c r="H28" s="6">
        <v>44548.0</v>
      </c>
      <c r="I28" s="7">
        <v>7512.0</v>
      </c>
      <c r="J28" s="8" t="str">
        <f t="shared" si="1"/>
        <v>Pass</v>
      </c>
      <c r="K28" s="8" t="str">
        <f t="array" ref="K28">IFS(F28&gt;=90,"Excellent",F28&gt;=70,"Good",F28&gt;=50,"Average",F28&lt;50,"Poor")</f>
        <v>Good</v>
      </c>
      <c r="L28" s="8" t="str">
        <f t="shared" si="2"/>
        <v>HR</v>
      </c>
      <c r="M28" s="8" t="str">
        <f t="shared" si="3"/>
        <v>Kerry Wilkinson</v>
      </c>
      <c r="N28" s="8">
        <f t="shared" si="4"/>
        <v>6</v>
      </c>
      <c r="O28" s="8">
        <f t="shared" si="5"/>
        <v>27</v>
      </c>
      <c r="P28" s="8" t="str">
        <f t="shared" si="6"/>
        <v>December</v>
      </c>
      <c r="Q28" s="8">
        <f t="shared" si="7"/>
        <v>3</v>
      </c>
      <c r="R28" s="8" t="str">
        <f t="shared" si="8"/>
        <v>Eligible</v>
      </c>
      <c r="S28" s="8" t="str">
        <f t="shared" si="9"/>
        <v>False</v>
      </c>
      <c r="T28" s="9">
        <f t="shared" si="10"/>
        <v>3756</v>
      </c>
      <c r="U28" s="10"/>
    </row>
    <row r="29" ht="15.75" customHeight="1">
      <c r="A29" s="4" t="s">
        <v>111</v>
      </c>
      <c r="B29" s="4" t="s">
        <v>112</v>
      </c>
      <c r="C29" s="4" t="s">
        <v>113</v>
      </c>
      <c r="D29" s="4" t="s">
        <v>46</v>
      </c>
      <c r="E29" s="4" t="s">
        <v>47</v>
      </c>
      <c r="F29" s="5">
        <v>37.0</v>
      </c>
      <c r="G29" s="6">
        <v>35085.0</v>
      </c>
      <c r="H29" s="6">
        <v>42311.0</v>
      </c>
      <c r="I29" s="7">
        <v>3969.0</v>
      </c>
      <c r="J29" s="8" t="str">
        <f t="shared" si="1"/>
        <v>Fail</v>
      </c>
      <c r="K29" s="8" t="str">
        <f t="array" ref="K29">IFS(F29&gt;=90,"Excellent",F29&gt;=70,"Good",F29&gt;=50,"Average",F29&lt;50,"Poor")</f>
        <v>Poor</v>
      </c>
      <c r="L29" s="8" t="str">
        <f t="shared" si="2"/>
        <v>Sal</v>
      </c>
      <c r="M29" s="8" t="str">
        <f t="shared" si="3"/>
        <v>Eileen Martin</v>
      </c>
      <c r="N29" s="8">
        <f t="shared" si="4"/>
        <v>6</v>
      </c>
      <c r="O29" s="8">
        <f t="shared" si="5"/>
        <v>29</v>
      </c>
      <c r="P29" s="8" t="str">
        <f t="shared" si="6"/>
        <v>November</v>
      </c>
      <c r="Q29" s="8">
        <f t="shared" si="7"/>
        <v>9</v>
      </c>
      <c r="R29" s="8" t="str">
        <f t="shared" si="8"/>
        <v>Eligible</v>
      </c>
      <c r="S29" s="8" t="str">
        <f t="shared" si="9"/>
        <v>True</v>
      </c>
      <c r="T29" s="9">
        <f t="shared" si="10"/>
        <v>1984.5</v>
      </c>
      <c r="U29" s="10"/>
    </row>
    <row r="30" ht="15.75" customHeight="1">
      <c r="A30" s="4" t="s">
        <v>114</v>
      </c>
      <c r="B30" s="4" t="s">
        <v>115</v>
      </c>
      <c r="C30" s="4" t="s">
        <v>116</v>
      </c>
      <c r="D30" s="4" t="s">
        <v>75</v>
      </c>
      <c r="E30" s="4" t="s">
        <v>76</v>
      </c>
      <c r="F30" s="5">
        <v>30.0</v>
      </c>
      <c r="G30" s="6">
        <v>36080.0</v>
      </c>
      <c r="H30" s="6">
        <v>41652.0</v>
      </c>
      <c r="I30" s="7">
        <v>4571.0</v>
      </c>
      <c r="J30" s="8" t="str">
        <f t="shared" si="1"/>
        <v>Fail</v>
      </c>
      <c r="K30" s="8" t="str">
        <f t="array" ref="K30">IFS(F30&gt;=90,"Excellent",F30&gt;=70,"Good",F30&gt;=50,"Average",F30&lt;50,"Poor")</f>
        <v>Poor</v>
      </c>
      <c r="L30" s="8" t="str">
        <f t="shared" si="2"/>
        <v>Mar</v>
      </c>
      <c r="M30" s="8" t="str">
        <f t="shared" si="3"/>
        <v>Jamie Ellison</v>
      </c>
      <c r="N30" s="8">
        <f t="shared" si="4"/>
        <v>6</v>
      </c>
      <c r="O30" s="8">
        <f t="shared" si="5"/>
        <v>27</v>
      </c>
      <c r="P30" s="8" t="str">
        <f t="shared" si="6"/>
        <v>January</v>
      </c>
      <c r="Q30" s="8">
        <f t="shared" si="7"/>
        <v>11</v>
      </c>
      <c r="R30" s="8" t="str">
        <f t="shared" si="8"/>
        <v>Eligible</v>
      </c>
      <c r="S30" s="8" t="str">
        <f t="shared" si="9"/>
        <v>False</v>
      </c>
      <c r="T30" s="9">
        <f t="shared" si="10"/>
        <v>2285.5</v>
      </c>
      <c r="U30" s="10"/>
    </row>
    <row r="31" ht="15.75" customHeight="1">
      <c r="A31" s="4" t="s">
        <v>117</v>
      </c>
      <c r="B31" s="4" t="s">
        <v>118</v>
      </c>
      <c r="C31" s="4" t="s">
        <v>119</v>
      </c>
      <c r="D31" s="4" t="s">
        <v>24</v>
      </c>
      <c r="E31" s="4" t="s">
        <v>25</v>
      </c>
      <c r="F31" s="5">
        <v>97.0</v>
      </c>
      <c r="G31" s="6">
        <v>34153.0</v>
      </c>
      <c r="H31" s="6">
        <v>41419.0</v>
      </c>
      <c r="I31" s="7">
        <v>4833.0</v>
      </c>
      <c r="J31" s="8" t="str">
        <f t="shared" si="1"/>
        <v>Pass</v>
      </c>
      <c r="K31" s="8" t="str">
        <f t="array" ref="K31">IFS(F31&gt;=90,"Excellent",F31&gt;=70,"Good",F31&gt;=50,"Average",F31&lt;50,"Poor")</f>
        <v>Excellent</v>
      </c>
      <c r="L31" s="8" t="str">
        <f t="shared" si="2"/>
        <v>IT</v>
      </c>
      <c r="M31" s="8" t="str">
        <f t="shared" si="3"/>
        <v>Phillip Anderson</v>
      </c>
      <c r="N31" s="8">
        <f t="shared" si="4"/>
        <v>6</v>
      </c>
      <c r="O31" s="8">
        <f t="shared" si="5"/>
        <v>32</v>
      </c>
      <c r="P31" s="8" t="str">
        <f t="shared" si="6"/>
        <v>May</v>
      </c>
      <c r="Q31" s="8">
        <f t="shared" si="7"/>
        <v>12</v>
      </c>
      <c r="R31" s="8" t="str">
        <f t="shared" si="8"/>
        <v>Eligible</v>
      </c>
      <c r="S31" s="8" t="str">
        <f t="shared" si="9"/>
        <v>True</v>
      </c>
      <c r="T31" s="9">
        <f t="shared" si="10"/>
        <v>2416.5</v>
      </c>
      <c r="U31" s="10"/>
    </row>
    <row r="32" ht="15.75" customHeight="1">
      <c r="A32" s="4" t="s">
        <v>120</v>
      </c>
      <c r="B32" s="4" t="s">
        <v>121</v>
      </c>
      <c r="C32" s="4" t="s">
        <v>122</v>
      </c>
      <c r="D32" s="4" t="s">
        <v>46</v>
      </c>
      <c r="E32" s="4" t="s">
        <v>53</v>
      </c>
      <c r="F32" s="5">
        <v>71.0</v>
      </c>
      <c r="G32" s="6">
        <v>32876.0</v>
      </c>
      <c r="H32" s="6">
        <v>45788.0</v>
      </c>
      <c r="I32" s="7">
        <v>7186.0</v>
      </c>
      <c r="J32" s="8" t="str">
        <f t="shared" si="1"/>
        <v>Pass</v>
      </c>
      <c r="K32" s="8" t="str">
        <f t="array" ref="K32">IFS(F32&gt;=90,"Excellent",F32&gt;=70,"Good",F32&gt;=50,"Average",F32&lt;50,"Poor")</f>
        <v>Good</v>
      </c>
      <c r="L32" s="8" t="str">
        <f t="shared" si="2"/>
        <v>Sal</v>
      </c>
      <c r="M32" s="8" t="str">
        <f t="shared" si="3"/>
        <v>Paul Farrell</v>
      </c>
      <c r="N32" s="8">
        <f t="shared" si="4"/>
        <v>6</v>
      </c>
      <c r="O32" s="8">
        <f t="shared" si="5"/>
        <v>35</v>
      </c>
      <c r="P32" s="8" t="str">
        <f t="shared" si="6"/>
        <v>May</v>
      </c>
      <c r="Q32" s="8">
        <f t="shared" si="7"/>
        <v>0</v>
      </c>
      <c r="R32" s="8" t="str">
        <f t="shared" si="8"/>
        <v>Not Eligible</v>
      </c>
      <c r="S32" s="8" t="str">
        <f t="shared" si="9"/>
        <v>True</v>
      </c>
      <c r="T32" s="9">
        <f t="shared" si="10"/>
        <v>3593</v>
      </c>
      <c r="U32" s="10"/>
    </row>
    <row r="33" ht="15.75" customHeight="1">
      <c r="A33" s="4" t="s">
        <v>123</v>
      </c>
      <c r="B33" s="4" t="s">
        <v>124</v>
      </c>
      <c r="C33" s="4" t="s">
        <v>125</v>
      </c>
      <c r="D33" s="4" t="s">
        <v>75</v>
      </c>
      <c r="E33" s="4" t="s">
        <v>76</v>
      </c>
      <c r="F33" s="5">
        <v>45.0</v>
      </c>
      <c r="G33" s="6">
        <v>32611.0</v>
      </c>
      <c r="H33" s="6">
        <v>44345.0</v>
      </c>
      <c r="I33" s="7">
        <v>6867.0</v>
      </c>
      <c r="J33" s="8" t="str">
        <f t="shared" si="1"/>
        <v>Fail</v>
      </c>
      <c r="K33" s="8" t="str">
        <f t="array" ref="K33">IFS(F33&gt;=90,"Excellent",F33&gt;=70,"Good",F33&gt;=50,"Average",F33&lt;50,"Poor")</f>
        <v>Poor</v>
      </c>
      <c r="L33" s="8" t="str">
        <f t="shared" si="2"/>
        <v>Mar</v>
      </c>
      <c r="M33" s="8" t="str">
        <f t="shared" si="3"/>
        <v>Charles Myers</v>
      </c>
      <c r="N33" s="8">
        <f t="shared" si="4"/>
        <v>6</v>
      </c>
      <c r="O33" s="8">
        <f t="shared" si="5"/>
        <v>36</v>
      </c>
      <c r="P33" s="8" t="str">
        <f t="shared" si="6"/>
        <v>May</v>
      </c>
      <c r="Q33" s="8">
        <f t="shared" si="7"/>
        <v>4</v>
      </c>
      <c r="R33" s="8" t="str">
        <f t="shared" si="8"/>
        <v>Eligible</v>
      </c>
      <c r="S33" s="8" t="str">
        <f t="shared" si="9"/>
        <v>False</v>
      </c>
      <c r="T33" s="9">
        <f t="shared" si="10"/>
        <v>3433.5</v>
      </c>
      <c r="U33" s="10"/>
    </row>
    <row r="34" ht="15.75" customHeight="1">
      <c r="A34" s="4" t="s">
        <v>126</v>
      </c>
      <c r="B34" s="4" t="s">
        <v>127</v>
      </c>
      <c r="C34" s="4" t="s">
        <v>128</v>
      </c>
      <c r="D34" s="4" t="s">
        <v>75</v>
      </c>
      <c r="E34" s="4" t="s">
        <v>76</v>
      </c>
      <c r="F34" s="5">
        <v>68.0</v>
      </c>
      <c r="G34" s="6">
        <v>35600.0</v>
      </c>
      <c r="H34" s="6">
        <v>44084.0</v>
      </c>
      <c r="I34" s="7">
        <v>5135.0</v>
      </c>
      <c r="J34" s="8" t="str">
        <f t="shared" si="1"/>
        <v>Pass</v>
      </c>
      <c r="K34" s="8" t="str">
        <f t="array" ref="K34">IFS(F34&gt;=90,"Excellent",F34&gt;=70,"Good",F34&gt;=50,"Average",F34&lt;50,"Poor")</f>
        <v>Average</v>
      </c>
      <c r="L34" s="8" t="str">
        <f t="shared" si="2"/>
        <v>Mar</v>
      </c>
      <c r="M34" s="8" t="str">
        <f t="shared" si="3"/>
        <v>Vanessa Ford</v>
      </c>
      <c r="N34" s="8">
        <f t="shared" si="4"/>
        <v>6</v>
      </c>
      <c r="O34" s="8">
        <f t="shared" si="5"/>
        <v>28</v>
      </c>
      <c r="P34" s="8" t="str">
        <f t="shared" si="6"/>
        <v>September</v>
      </c>
      <c r="Q34" s="8">
        <f t="shared" si="7"/>
        <v>5</v>
      </c>
      <c r="R34" s="8" t="str">
        <f t="shared" si="8"/>
        <v>Eligible</v>
      </c>
      <c r="S34" s="8" t="str">
        <f t="shared" si="9"/>
        <v>False</v>
      </c>
      <c r="T34" s="9">
        <f t="shared" si="10"/>
        <v>2567.5</v>
      </c>
      <c r="U34" s="10"/>
    </row>
    <row r="35" ht="15.75" customHeight="1">
      <c r="A35" s="4" t="s">
        <v>129</v>
      </c>
      <c r="B35" s="4" t="s">
        <v>73</v>
      </c>
      <c r="C35" s="4" t="s">
        <v>130</v>
      </c>
      <c r="D35" s="4" t="s">
        <v>75</v>
      </c>
      <c r="E35" s="4" t="s">
        <v>76</v>
      </c>
      <c r="F35" s="5">
        <v>52.0</v>
      </c>
      <c r="G35" s="6">
        <v>35434.0</v>
      </c>
      <c r="H35" s="6">
        <v>43636.0</v>
      </c>
      <c r="I35" s="7">
        <v>6925.0</v>
      </c>
      <c r="J35" s="8" t="str">
        <f t="shared" si="1"/>
        <v>Pass</v>
      </c>
      <c r="K35" s="8" t="str">
        <f t="array" ref="K35">IFS(F35&gt;=90,"Excellent",F35&gt;=70,"Good",F35&gt;=50,"Average",F35&lt;50,"Poor")</f>
        <v>Average</v>
      </c>
      <c r="L35" s="8" t="str">
        <f t="shared" si="2"/>
        <v>Mar</v>
      </c>
      <c r="M35" s="8" t="str">
        <f t="shared" si="3"/>
        <v>Joanne Gordon</v>
      </c>
      <c r="N35" s="8">
        <f t="shared" si="4"/>
        <v>6</v>
      </c>
      <c r="O35" s="8">
        <f t="shared" si="5"/>
        <v>28</v>
      </c>
      <c r="P35" s="8" t="str">
        <f t="shared" si="6"/>
        <v>June</v>
      </c>
      <c r="Q35" s="8">
        <f t="shared" si="7"/>
        <v>6</v>
      </c>
      <c r="R35" s="8" t="str">
        <f t="shared" si="8"/>
        <v>Eligible</v>
      </c>
      <c r="S35" s="8" t="str">
        <f t="shared" si="9"/>
        <v>False</v>
      </c>
      <c r="T35" s="9">
        <f t="shared" si="10"/>
        <v>3462.5</v>
      </c>
      <c r="U35" s="10"/>
    </row>
    <row r="36" ht="15.75" customHeight="1">
      <c r="A36" s="4" t="s">
        <v>131</v>
      </c>
      <c r="B36" s="4" t="s">
        <v>132</v>
      </c>
      <c r="C36" s="4" t="s">
        <v>133</v>
      </c>
      <c r="D36" s="4" t="s">
        <v>29</v>
      </c>
      <c r="E36" s="4" t="s">
        <v>30</v>
      </c>
      <c r="F36" s="5">
        <v>41.0</v>
      </c>
      <c r="G36" s="6">
        <v>35652.0</v>
      </c>
      <c r="H36" s="6">
        <v>42632.0</v>
      </c>
      <c r="I36" s="7">
        <v>4422.0</v>
      </c>
      <c r="J36" s="8" t="str">
        <f t="shared" si="1"/>
        <v>Fail</v>
      </c>
      <c r="K36" s="8" t="str">
        <f t="array" ref="K36">IFS(F36&gt;=90,"Excellent",F36&gt;=70,"Good",F36&gt;=50,"Average",F36&lt;50,"Poor")</f>
        <v>Poor</v>
      </c>
      <c r="L36" s="8" t="str">
        <f t="shared" si="2"/>
        <v>Fin</v>
      </c>
      <c r="M36" s="8" t="str">
        <f t="shared" si="3"/>
        <v>Kayla Hernandez</v>
      </c>
      <c r="N36" s="8">
        <f t="shared" si="4"/>
        <v>6</v>
      </c>
      <c r="O36" s="8">
        <f t="shared" si="5"/>
        <v>28</v>
      </c>
      <c r="P36" s="8" t="str">
        <f t="shared" si="6"/>
        <v>September</v>
      </c>
      <c r="Q36" s="8">
        <f t="shared" si="7"/>
        <v>9</v>
      </c>
      <c r="R36" s="8" t="str">
        <f t="shared" si="8"/>
        <v>Eligible</v>
      </c>
      <c r="S36" s="8" t="str">
        <f t="shared" si="9"/>
        <v>False</v>
      </c>
      <c r="T36" s="9">
        <f t="shared" si="10"/>
        <v>2211</v>
      </c>
      <c r="U36" s="10"/>
    </row>
    <row r="37" ht="15.75" customHeight="1">
      <c r="A37" s="4" t="s">
        <v>134</v>
      </c>
      <c r="B37" s="4" t="s">
        <v>135</v>
      </c>
      <c r="C37" s="4" t="s">
        <v>136</v>
      </c>
      <c r="D37" s="4" t="s">
        <v>46</v>
      </c>
      <c r="E37" s="4" t="s">
        <v>47</v>
      </c>
      <c r="F37" s="5">
        <v>71.0</v>
      </c>
      <c r="G37" s="6">
        <v>34434.0</v>
      </c>
      <c r="H37" s="6">
        <v>44153.0</v>
      </c>
      <c r="I37" s="7">
        <v>8468.0</v>
      </c>
      <c r="J37" s="8" t="str">
        <f t="shared" si="1"/>
        <v>Pass</v>
      </c>
      <c r="K37" s="8" t="str">
        <f t="array" ref="K37">IFS(F37&gt;=90,"Excellent",F37&gt;=70,"Good",F37&gt;=50,"Average",F37&lt;50,"Poor")</f>
        <v>Good</v>
      </c>
      <c r="L37" s="8" t="str">
        <f t="shared" si="2"/>
        <v>Sal</v>
      </c>
      <c r="M37" s="8" t="str">
        <f t="shared" si="3"/>
        <v>Amber Johnson</v>
      </c>
      <c r="N37" s="8">
        <f t="shared" si="4"/>
        <v>6</v>
      </c>
      <c r="O37" s="8">
        <f t="shared" si="5"/>
        <v>31</v>
      </c>
      <c r="P37" s="8" t="str">
        <f t="shared" si="6"/>
        <v>November</v>
      </c>
      <c r="Q37" s="8">
        <f t="shared" si="7"/>
        <v>4</v>
      </c>
      <c r="R37" s="8" t="str">
        <f t="shared" si="8"/>
        <v>Eligible</v>
      </c>
      <c r="S37" s="8" t="str">
        <f t="shared" si="9"/>
        <v>True</v>
      </c>
      <c r="T37" s="9">
        <f t="shared" si="10"/>
        <v>4234</v>
      </c>
      <c r="U37" s="10"/>
    </row>
    <row r="38" ht="15.75" customHeight="1">
      <c r="A38" s="4" t="s">
        <v>137</v>
      </c>
      <c r="B38" s="4" t="s">
        <v>138</v>
      </c>
      <c r="C38" s="4" t="s">
        <v>139</v>
      </c>
      <c r="D38" s="4" t="s">
        <v>46</v>
      </c>
      <c r="E38" s="4" t="s">
        <v>47</v>
      </c>
      <c r="F38" s="5">
        <v>72.0</v>
      </c>
      <c r="G38" s="6">
        <v>31462.0</v>
      </c>
      <c r="H38" s="6">
        <v>42702.0</v>
      </c>
      <c r="I38" s="7">
        <v>9085.0</v>
      </c>
      <c r="J38" s="8" t="str">
        <f t="shared" si="1"/>
        <v>Pass</v>
      </c>
      <c r="K38" s="8" t="str">
        <f t="array" ref="K38">IFS(F38&gt;=90,"Excellent",F38&gt;=70,"Good",F38&gt;=50,"Average",F38&lt;50,"Poor")</f>
        <v>Good</v>
      </c>
      <c r="L38" s="8" t="str">
        <f t="shared" si="2"/>
        <v>Sal</v>
      </c>
      <c r="M38" s="8" t="str">
        <f t="shared" si="3"/>
        <v>Jeffrey Little</v>
      </c>
      <c r="N38" s="8">
        <f t="shared" si="4"/>
        <v>6</v>
      </c>
      <c r="O38" s="8">
        <f t="shared" si="5"/>
        <v>39</v>
      </c>
      <c r="P38" s="8" t="str">
        <f t="shared" si="6"/>
        <v>November</v>
      </c>
      <c r="Q38" s="8">
        <f t="shared" si="7"/>
        <v>8</v>
      </c>
      <c r="R38" s="8" t="str">
        <f t="shared" si="8"/>
        <v>Eligible</v>
      </c>
      <c r="S38" s="8" t="str">
        <f t="shared" si="9"/>
        <v>True</v>
      </c>
      <c r="T38" s="9">
        <f t="shared" si="10"/>
        <v>4542.5</v>
      </c>
      <c r="U38" s="10"/>
    </row>
    <row r="39" ht="15.75" customHeight="1">
      <c r="A39" s="4" t="s">
        <v>140</v>
      </c>
      <c r="B39" s="4" t="s">
        <v>141</v>
      </c>
      <c r="C39" s="4" t="s">
        <v>142</v>
      </c>
      <c r="D39" s="4" t="s">
        <v>24</v>
      </c>
      <c r="E39" s="4" t="s">
        <v>25</v>
      </c>
      <c r="F39" s="5">
        <v>83.0</v>
      </c>
      <c r="G39" s="6">
        <v>35682.0</v>
      </c>
      <c r="H39" s="6">
        <v>45945.0</v>
      </c>
      <c r="I39" s="7">
        <v>5705.0</v>
      </c>
      <c r="J39" s="8" t="str">
        <f t="shared" si="1"/>
        <v>Pass</v>
      </c>
      <c r="K39" s="8" t="str">
        <f t="array" ref="K39">IFS(F39&gt;=90,"Excellent",F39&gt;=70,"Good",F39&gt;=50,"Average",F39&lt;50,"Poor")</f>
        <v>Good</v>
      </c>
      <c r="L39" s="8" t="str">
        <f t="shared" si="2"/>
        <v>IT</v>
      </c>
      <c r="M39" s="8" t="str">
        <f t="shared" si="3"/>
        <v>Megan Stewart</v>
      </c>
      <c r="N39" s="8">
        <f t="shared" si="4"/>
        <v>6</v>
      </c>
      <c r="O39" s="8">
        <f t="shared" si="5"/>
        <v>28</v>
      </c>
      <c r="P39" s="8" t="str">
        <f t="shared" si="6"/>
        <v>October</v>
      </c>
      <c r="Q39" s="8">
        <f t="shared" si="7"/>
        <v>0</v>
      </c>
      <c r="R39" s="8" t="str">
        <f t="shared" si="8"/>
        <v>Not Eligible</v>
      </c>
      <c r="S39" s="8" t="str">
        <f t="shared" si="9"/>
        <v>True</v>
      </c>
      <c r="T39" s="9">
        <f t="shared" si="10"/>
        <v>2852.5</v>
      </c>
      <c r="U39" s="10"/>
    </row>
    <row r="40" ht="15.75" customHeight="1">
      <c r="A40" s="4" t="s">
        <v>143</v>
      </c>
      <c r="B40" s="4" t="s">
        <v>144</v>
      </c>
      <c r="C40" s="4" t="s">
        <v>145</v>
      </c>
      <c r="D40" s="4" t="s">
        <v>24</v>
      </c>
      <c r="E40" s="4" t="s">
        <v>25</v>
      </c>
      <c r="F40" s="5">
        <v>93.0</v>
      </c>
      <c r="G40" s="6">
        <v>31631.0</v>
      </c>
      <c r="H40" s="6">
        <v>43776.0</v>
      </c>
      <c r="I40" s="7">
        <v>3047.0</v>
      </c>
      <c r="J40" s="8" t="str">
        <f t="shared" si="1"/>
        <v>Pass</v>
      </c>
      <c r="K40" s="8" t="str">
        <f t="array" ref="K40">IFS(F40&gt;=90,"Excellent",F40&gt;=70,"Good",F40&gt;=50,"Average",F40&lt;50,"Poor")</f>
        <v>Excellent</v>
      </c>
      <c r="L40" s="8" t="str">
        <f t="shared" si="2"/>
        <v>IT</v>
      </c>
      <c r="M40" s="8" t="str">
        <f t="shared" si="3"/>
        <v>Lisa Rangel</v>
      </c>
      <c r="N40" s="8">
        <f t="shared" si="4"/>
        <v>6</v>
      </c>
      <c r="O40" s="8">
        <f t="shared" si="5"/>
        <v>39</v>
      </c>
      <c r="P40" s="8" t="str">
        <f t="shared" si="6"/>
        <v>November</v>
      </c>
      <c r="Q40" s="8">
        <f t="shared" si="7"/>
        <v>5</v>
      </c>
      <c r="R40" s="8" t="str">
        <f t="shared" si="8"/>
        <v>Eligible</v>
      </c>
      <c r="S40" s="8" t="str">
        <f t="shared" si="9"/>
        <v>True</v>
      </c>
      <c r="T40" s="9">
        <f t="shared" si="10"/>
        <v>1523.5</v>
      </c>
      <c r="U40" s="10"/>
    </row>
    <row r="41" ht="15.75" customHeight="1">
      <c r="A41" s="4" t="s">
        <v>146</v>
      </c>
      <c r="B41" s="4" t="s">
        <v>147</v>
      </c>
      <c r="C41" s="4" t="s">
        <v>148</v>
      </c>
      <c r="D41" s="4" t="s">
        <v>75</v>
      </c>
      <c r="E41" s="4" t="s">
        <v>76</v>
      </c>
      <c r="F41" s="5">
        <v>87.0</v>
      </c>
      <c r="G41" s="6">
        <v>34847.0</v>
      </c>
      <c r="H41" s="6">
        <v>42701.0</v>
      </c>
      <c r="I41" s="7">
        <v>6496.0</v>
      </c>
      <c r="J41" s="8" t="str">
        <f t="shared" si="1"/>
        <v>Pass</v>
      </c>
      <c r="K41" s="8" t="str">
        <f t="array" ref="K41">IFS(F41&gt;=90,"Excellent",F41&gt;=70,"Good",F41&gt;=50,"Average",F41&lt;50,"Poor")</f>
        <v>Good</v>
      </c>
      <c r="L41" s="8" t="str">
        <f t="shared" si="2"/>
        <v>Mar</v>
      </c>
      <c r="M41" s="8" t="str">
        <f t="shared" si="3"/>
        <v>Andrea Herrera</v>
      </c>
      <c r="N41" s="8">
        <f t="shared" si="4"/>
        <v>6</v>
      </c>
      <c r="O41" s="8">
        <f t="shared" si="5"/>
        <v>30</v>
      </c>
      <c r="P41" s="8" t="str">
        <f t="shared" si="6"/>
        <v>November</v>
      </c>
      <c r="Q41" s="8">
        <f t="shared" si="7"/>
        <v>8</v>
      </c>
      <c r="R41" s="8" t="str">
        <f t="shared" si="8"/>
        <v>Eligible</v>
      </c>
      <c r="S41" s="8" t="str">
        <f t="shared" si="9"/>
        <v>False</v>
      </c>
      <c r="T41" s="9">
        <f t="shared" si="10"/>
        <v>3248</v>
      </c>
      <c r="U41" s="10"/>
    </row>
    <row r="42" ht="15.75" customHeight="1">
      <c r="A42" s="4" t="s">
        <v>149</v>
      </c>
      <c r="B42" s="4" t="s">
        <v>150</v>
      </c>
      <c r="C42" s="4" t="s">
        <v>151</v>
      </c>
      <c r="D42" s="4" t="s">
        <v>29</v>
      </c>
      <c r="E42" s="4" t="s">
        <v>30</v>
      </c>
      <c r="F42" s="5">
        <v>69.0</v>
      </c>
      <c r="G42" s="6">
        <v>37842.0</v>
      </c>
      <c r="H42" s="6">
        <v>45122.0</v>
      </c>
      <c r="I42" s="7">
        <v>3996.0</v>
      </c>
      <c r="J42" s="8" t="str">
        <f t="shared" si="1"/>
        <v>Pass</v>
      </c>
      <c r="K42" s="8" t="str">
        <f t="array" ref="K42">IFS(F42&gt;=90,"Excellent",F42&gt;=70,"Good",F42&gt;=50,"Average",F42&lt;50,"Poor")</f>
        <v>Average</v>
      </c>
      <c r="L42" s="8" t="str">
        <f t="shared" si="2"/>
        <v>Fin</v>
      </c>
      <c r="M42" s="8" t="str">
        <f t="shared" si="3"/>
        <v>Danielle Howard</v>
      </c>
      <c r="N42" s="8">
        <f t="shared" si="4"/>
        <v>6</v>
      </c>
      <c r="O42" s="8">
        <f t="shared" si="5"/>
        <v>22</v>
      </c>
      <c r="P42" s="8" t="str">
        <f t="shared" si="6"/>
        <v>July</v>
      </c>
      <c r="Q42" s="8">
        <f t="shared" si="7"/>
        <v>2</v>
      </c>
      <c r="R42" s="8" t="str">
        <f t="shared" si="8"/>
        <v>Not Eligible</v>
      </c>
      <c r="S42" s="8" t="str">
        <f t="shared" si="9"/>
        <v>False</v>
      </c>
      <c r="T42" s="9">
        <f t="shared" si="10"/>
        <v>1998</v>
      </c>
      <c r="U42" s="10"/>
    </row>
    <row r="43" ht="15.75" customHeight="1">
      <c r="A43" s="4" t="s">
        <v>152</v>
      </c>
      <c r="B43" s="4" t="s">
        <v>124</v>
      </c>
      <c r="C43" s="4" t="s">
        <v>153</v>
      </c>
      <c r="D43" s="4" t="s">
        <v>29</v>
      </c>
      <c r="E43" s="4" t="s">
        <v>39</v>
      </c>
      <c r="F43" s="5">
        <v>47.0</v>
      </c>
      <c r="G43" s="6">
        <v>37015.0</v>
      </c>
      <c r="H43" s="6">
        <v>43078.0</v>
      </c>
      <c r="I43" s="7">
        <v>7871.0</v>
      </c>
      <c r="J43" s="8" t="str">
        <f t="shared" si="1"/>
        <v>Fail</v>
      </c>
      <c r="K43" s="8" t="str">
        <f t="array" ref="K43">IFS(F43&gt;=90,"Excellent",F43&gt;=70,"Good",F43&gt;=50,"Average",F43&lt;50,"Poor")</f>
        <v>Poor</v>
      </c>
      <c r="L43" s="8" t="str">
        <f t="shared" si="2"/>
        <v>Fin</v>
      </c>
      <c r="M43" s="8" t="str">
        <f t="shared" si="3"/>
        <v>Charles Young</v>
      </c>
      <c r="N43" s="8">
        <f t="shared" si="4"/>
        <v>6</v>
      </c>
      <c r="O43" s="8">
        <f t="shared" si="5"/>
        <v>24</v>
      </c>
      <c r="P43" s="8" t="str">
        <f t="shared" si="6"/>
        <v>December</v>
      </c>
      <c r="Q43" s="8">
        <f t="shared" si="7"/>
        <v>7</v>
      </c>
      <c r="R43" s="8" t="str">
        <f t="shared" si="8"/>
        <v>Not Eligible</v>
      </c>
      <c r="S43" s="8" t="str">
        <f t="shared" si="9"/>
        <v>False</v>
      </c>
      <c r="T43" s="9">
        <f t="shared" si="10"/>
        <v>3935.5</v>
      </c>
      <c r="U43" s="10"/>
    </row>
    <row r="44" ht="15.75" customHeight="1">
      <c r="A44" s="4" t="s">
        <v>154</v>
      </c>
      <c r="B44" s="4" t="s">
        <v>155</v>
      </c>
      <c r="C44" s="4" t="s">
        <v>156</v>
      </c>
      <c r="D44" s="4" t="s">
        <v>34</v>
      </c>
      <c r="E44" s="4" t="s">
        <v>71</v>
      </c>
      <c r="F44" s="5">
        <v>54.0</v>
      </c>
      <c r="G44" s="6">
        <v>36112.0</v>
      </c>
      <c r="H44" s="6">
        <v>43021.0</v>
      </c>
      <c r="I44" s="7">
        <v>7676.0</v>
      </c>
      <c r="J44" s="8" t="str">
        <f t="shared" si="1"/>
        <v>Pass</v>
      </c>
      <c r="K44" s="8" t="str">
        <f t="array" ref="K44">IFS(F44&gt;=90,"Excellent",F44&gt;=70,"Good",F44&gt;=50,"Average",F44&lt;50,"Poor")</f>
        <v>Average</v>
      </c>
      <c r="L44" s="8" t="str">
        <f t="shared" si="2"/>
        <v>HR</v>
      </c>
      <c r="M44" s="8" t="str">
        <f t="shared" si="3"/>
        <v>Stacey Miranda</v>
      </c>
      <c r="N44" s="8">
        <f t="shared" si="4"/>
        <v>6</v>
      </c>
      <c r="O44" s="8">
        <f t="shared" si="5"/>
        <v>26</v>
      </c>
      <c r="P44" s="8" t="str">
        <f t="shared" si="6"/>
        <v>October</v>
      </c>
      <c r="Q44" s="8">
        <f t="shared" si="7"/>
        <v>8</v>
      </c>
      <c r="R44" s="8" t="str">
        <f t="shared" si="8"/>
        <v>Eligible</v>
      </c>
      <c r="S44" s="8" t="str">
        <f t="shared" si="9"/>
        <v>False</v>
      </c>
      <c r="T44" s="9">
        <f t="shared" si="10"/>
        <v>3838</v>
      </c>
      <c r="U44" s="10"/>
    </row>
    <row r="45" ht="15.75" customHeight="1">
      <c r="A45" s="4" t="s">
        <v>157</v>
      </c>
      <c r="B45" s="4" t="s">
        <v>158</v>
      </c>
      <c r="C45" s="4" t="s">
        <v>159</v>
      </c>
      <c r="D45" s="4" t="s">
        <v>29</v>
      </c>
      <c r="E45" s="4" t="s">
        <v>30</v>
      </c>
      <c r="F45" s="5">
        <v>78.0</v>
      </c>
      <c r="G45" s="6">
        <v>32130.0</v>
      </c>
      <c r="H45" s="6">
        <v>45557.0</v>
      </c>
      <c r="I45" s="7">
        <v>7201.0</v>
      </c>
      <c r="J45" s="8" t="str">
        <f t="shared" si="1"/>
        <v>Pass</v>
      </c>
      <c r="K45" s="8" t="str">
        <f t="array" ref="K45">IFS(F45&gt;=90,"Excellent",F45&gt;=70,"Good",F45&gt;=50,"Average",F45&lt;50,"Poor")</f>
        <v>Good</v>
      </c>
      <c r="L45" s="8" t="str">
        <f t="shared" si="2"/>
        <v>Fin</v>
      </c>
      <c r="M45" s="8" t="str">
        <f t="shared" si="3"/>
        <v>Ian Schaefer</v>
      </c>
      <c r="N45" s="8">
        <f t="shared" si="4"/>
        <v>6</v>
      </c>
      <c r="O45" s="8">
        <f t="shared" si="5"/>
        <v>37</v>
      </c>
      <c r="P45" s="8" t="str">
        <f t="shared" si="6"/>
        <v>September</v>
      </c>
      <c r="Q45" s="8">
        <f t="shared" si="7"/>
        <v>1</v>
      </c>
      <c r="R45" s="8" t="str">
        <f t="shared" si="8"/>
        <v>Not Eligible</v>
      </c>
      <c r="S45" s="8" t="str">
        <f t="shared" si="9"/>
        <v>False</v>
      </c>
      <c r="T45" s="9">
        <f t="shared" si="10"/>
        <v>3600.5</v>
      </c>
      <c r="U45" s="10"/>
    </row>
    <row r="46" ht="15.75" customHeight="1">
      <c r="A46" s="4" t="s">
        <v>160</v>
      </c>
      <c r="B46" s="4" t="s">
        <v>161</v>
      </c>
      <c r="C46" s="4" t="s">
        <v>136</v>
      </c>
      <c r="D46" s="4" t="s">
        <v>34</v>
      </c>
      <c r="E46" s="4" t="s">
        <v>71</v>
      </c>
      <c r="F46" s="5">
        <v>87.0</v>
      </c>
      <c r="G46" s="6">
        <v>35751.0</v>
      </c>
      <c r="H46" s="6">
        <v>45132.0</v>
      </c>
      <c r="I46" s="7">
        <v>5621.0</v>
      </c>
      <c r="J46" s="8" t="str">
        <f t="shared" si="1"/>
        <v>Pass</v>
      </c>
      <c r="K46" s="8" t="str">
        <f t="array" ref="K46">IFS(F46&gt;=90,"Excellent",F46&gt;=70,"Good",F46&gt;=50,"Average",F46&lt;50,"Poor")</f>
        <v>Good</v>
      </c>
      <c r="L46" s="8" t="str">
        <f t="shared" si="2"/>
        <v>HR</v>
      </c>
      <c r="M46" s="8" t="str">
        <f t="shared" si="3"/>
        <v>Priscilla Johnson</v>
      </c>
      <c r="N46" s="8">
        <f t="shared" si="4"/>
        <v>6</v>
      </c>
      <c r="O46" s="8">
        <f t="shared" si="5"/>
        <v>27</v>
      </c>
      <c r="P46" s="8" t="str">
        <f t="shared" si="6"/>
        <v>July</v>
      </c>
      <c r="Q46" s="8">
        <f t="shared" si="7"/>
        <v>2</v>
      </c>
      <c r="R46" s="8" t="str">
        <f t="shared" si="8"/>
        <v>Not Eligible</v>
      </c>
      <c r="S46" s="8" t="str">
        <f t="shared" si="9"/>
        <v>False</v>
      </c>
      <c r="T46" s="9">
        <f t="shared" si="10"/>
        <v>2810.5</v>
      </c>
      <c r="U46" s="10"/>
    </row>
    <row r="47" ht="15.75" customHeight="1">
      <c r="A47" s="4" t="s">
        <v>162</v>
      </c>
      <c r="B47" s="4" t="s">
        <v>163</v>
      </c>
      <c r="C47" s="4" t="s">
        <v>164</v>
      </c>
      <c r="D47" s="4" t="s">
        <v>29</v>
      </c>
      <c r="E47" s="4" t="s">
        <v>30</v>
      </c>
      <c r="F47" s="5">
        <v>62.0</v>
      </c>
      <c r="G47" s="6">
        <v>31610.0</v>
      </c>
      <c r="H47" s="6">
        <v>44313.0</v>
      </c>
      <c r="I47" s="7">
        <v>8638.0</v>
      </c>
      <c r="J47" s="8" t="str">
        <f t="shared" si="1"/>
        <v>Pass</v>
      </c>
      <c r="K47" s="8" t="str">
        <f t="array" ref="K47">IFS(F47&gt;=90,"Excellent",F47&gt;=70,"Good",F47&gt;=50,"Average",F47&lt;50,"Poor")</f>
        <v>Average</v>
      </c>
      <c r="L47" s="8" t="str">
        <f t="shared" si="2"/>
        <v>Fin</v>
      </c>
      <c r="M47" s="8" t="str">
        <f t="shared" si="3"/>
        <v>Christopher Warren</v>
      </c>
      <c r="N47" s="8">
        <f t="shared" si="4"/>
        <v>6</v>
      </c>
      <c r="O47" s="8">
        <f t="shared" si="5"/>
        <v>39</v>
      </c>
      <c r="P47" s="8" t="str">
        <f t="shared" si="6"/>
        <v>April</v>
      </c>
      <c r="Q47" s="8">
        <f t="shared" si="7"/>
        <v>4</v>
      </c>
      <c r="R47" s="8" t="str">
        <f t="shared" si="8"/>
        <v>Eligible</v>
      </c>
      <c r="S47" s="8" t="str">
        <f t="shared" si="9"/>
        <v>False</v>
      </c>
      <c r="T47" s="9">
        <f t="shared" si="10"/>
        <v>4319</v>
      </c>
      <c r="U47" s="10"/>
    </row>
    <row r="48" ht="15.75" customHeight="1">
      <c r="A48" s="4" t="s">
        <v>165</v>
      </c>
      <c r="B48" s="4" t="s">
        <v>166</v>
      </c>
      <c r="C48" s="4" t="s">
        <v>167</v>
      </c>
      <c r="D48" s="4" t="s">
        <v>34</v>
      </c>
      <c r="E48" s="4" t="s">
        <v>71</v>
      </c>
      <c r="F48" s="5">
        <v>91.0</v>
      </c>
      <c r="G48" s="6">
        <v>35391.0</v>
      </c>
      <c r="H48" s="6">
        <v>43713.0</v>
      </c>
      <c r="I48" s="7">
        <v>7472.0</v>
      </c>
      <c r="J48" s="8" t="str">
        <f t="shared" si="1"/>
        <v>Pass</v>
      </c>
      <c r="K48" s="8" t="str">
        <f t="array" ref="K48">IFS(F48&gt;=90,"Excellent",F48&gt;=70,"Good",F48&gt;=50,"Average",F48&lt;50,"Poor")</f>
        <v>Excellent</v>
      </c>
      <c r="L48" s="8" t="str">
        <f t="shared" si="2"/>
        <v>HR</v>
      </c>
      <c r="M48" s="8" t="str">
        <f t="shared" si="3"/>
        <v>Jillian Chung</v>
      </c>
      <c r="N48" s="8">
        <f t="shared" si="4"/>
        <v>6</v>
      </c>
      <c r="O48" s="8">
        <f t="shared" si="5"/>
        <v>28</v>
      </c>
      <c r="P48" s="8" t="str">
        <f t="shared" si="6"/>
        <v>September</v>
      </c>
      <c r="Q48" s="8">
        <f t="shared" si="7"/>
        <v>6</v>
      </c>
      <c r="R48" s="8" t="str">
        <f t="shared" si="8"/>
        <v>Eligible</v>
      </c>
      <c r="S48" s="8" t="str">
        <f t="shared" si="9"/>
        <v>False</v>
      </c>
      <c r="T48" s="9">
        <f t="shared" si="10"/>
        <v>3736</v>
      </c>
      <c r="U48" s="10"/>
    </row>
    <row r="49" ht="15.75" customHeight="1">
      <c r="A49" s="4" t="s">
        <v>168</v>
      </c>
      <c r="B49" s="4" t="s">
        <v>169</v>
      </c>
      <c r="C49" s="4" t="s">
        <v>170</v>
      </c>
      <c r="D49" s="4" t="s">
        <v>75</v>
      </c>
      <c r="E49" s="4" t="s">
        <v>85</v>
      </c>
      <c r="F49" s="5">
        <v>55.0</v>
      </c>
      <c r="G49" s="6">
        <v>35965.0</v>
      </c>
      <c r="H49" s="6">
        <v>43651.0</v>
      </c>
      <c r="I49" s="7">
        <v>5886.0</v>
      </c>
      <c r="J49" s="8" t="str">
        <f t="shared" si="1"/>
        <v>Pass</v>
      </c>
      <c r="K49" s="8" t="str">
        <f t="array" ref="K49">IFS(F49&gt;=90,"Excellent",F49&gt;=70,"Good",F49&gt;=50,"Average",F49&lt;50,"Poor")</f>
        <v>Average</v>
      </c>
      <c r="L49" s="8" t="str">
        <f t="shared" si="2"/>
        <v>Mar</v>
      </c>
      <c r="M49" s="8" t="str">
        <f t="shared" si="3"/>
        <v>Miguel Jackson</v>
      </c>
      <c r="N49" s="8">
        <f t="shared" si="4"/>
        <v>6</v>
      </c>
      <c r="O49" s="8">
        <f t="shared" si="5"/>
        <v>27</v>
      </c>
      <c r="P49" s="8" t="str">
        <f t="shared" si="6"/>
        <v>July</v>
      </c>
      <c r="Q49" s="8">
        <f t="shared" si="7"/>
        <v>6</v>
      </c>
      <c r="R49" s="8" t="str">
        <f t="shared" si="8"/>
        <v>Eligible</v>
      </c>
      <c r="S49" s="8" t="str">
        <f t="shared" si="9"/>
        <v>False</v>
      </c>
      <c r="T49" s="9">
        <f t="shared" si="10"/>
        <v>2943</v>
      </c>
      <c r="U49" s="10"/>
    </row>
    <row r="50" ht="15.75" customHeight="1">
      <c r="A50" s="4" t="s">
        <v>171</v>
      </c>
      <c r="B50" s="4" t="s">
        <v>172</v>
      </c>
      <c r="C50" s="4" t="s">
        <v>173</v>
      </c>
      <c r="D50" s="4" t="s">
        <v>75</v>
      </c>
      <c r="E50" s="4" t="s">
        <v>76</v>
      </c>
      <c r="F50" s="5">
        <v>96.0</v>
      </c>
      <c r="G50" s="6">
        <v>33362.0</v>
      </c>
      <c r="H50" s="6">
        <v>45664.0</v>
      </c>
      <c r="I50" s="7">
        <v>9486.0</v>
      </c>
      <c r="J50" s="8" t="str">
        <f t="shared" si="1"/>
        <v>Pass</v>
      </c>
      <c r="K50" s="8" t="str">
        <f t="array" ref="K50">IFS(F50&gt;=90,"Excellent",F50&gt;=70,"Good",F50&gt;=50,"Average",F50&lt;50,"Poor")</f>
        <v>Excellent</v>
      </c>
      <c r="L50" s="8" t="str">
        <f t="shared" si="2"/>
        <v>Mar</v>
      </c>
      <c r="M50" s="8" t="str">
        <f t="shared" si="3"/>
        <v>Rachel Blake</v>
      </c>
      <c r="N50" s="8">
        <f t="shared" si="4"/>
        <v>6</v>
      </c>
      <c r="O50" s="8">
        <f t="shared" si="5"/>
        <v>34</v>
      </c>
      <c r="P50" s="8" t="str">
        <f t="shared" si="6"/>
        <v>January</v>
      </c>
      <c r="Q50" s="8">
        <f t="shared" si="7"/>
        <v>0</v>
      </c>
      <c r="R50" s="8" t="str">
        <f t="shared" si="8"/>
        <v>Not Eligible</v>
      </c>
      <c r="S50" s="8" t="str">
        <f t="shared" si="9"/>
        <v>False</v>
      </c>
      <c r="T50" s="9">
        <f t="shared" si="10"/>
        <v>4743</v>
      </c>
      <c r="U50" s="10"/>
    </row>
    <row r="51" ht="15.75" customHeight="1">
      <c r="A51" s="4" t="s">
        <v>174</v>
      </c>
      <c r="B51" s="4" t="s">
        <v>151</v>
      </c>
      <c r="C51" s="4" t="s">
        <v>170</v>
      </c>
      <c r="D51" s="4" t="s">
        <v>29</v>
      </c>
      <c r="E51" s="4" t="s">
        <v>39</v>
      </c>
      <c r="F51" s="5">
        <v>31.0</v>
      </c>
      <c r="G51" s="6">
        <v>35466.0</v>
      </c>
      <c r="H51" s="6">
        <v>43172.0</v>
      </c>
      <c r="I51" s="7">
        <v>7713.0</v>
      </c>
      <c r="J51" s="8" t="str">
        <f t="shared" si="1"/>
        <v>Fail</v>
      </c>
      <c r="K51" s="8" t="str">
        <f t="array" ref="K51">IFS(F51&gt;=90,"Excellent",F51&gt;=70,"Good",F51&gt;=50,"Average",F51&lt;50,"Poor")</f>
        <v>Poor</v>
      </c>
      <c r="L51" s="8" t="str">
        <f t="shared" si="2"/>
        <v>Fin</v>
      </c>
      <c r="M51" s="8" t="str">
        <f t="shared" si="3"/>
        <v>Howard Jackson</v>
      </c>
      <c r="N51" s="8">
        <f t="shared" si="4"/>
        <v>6</v>
      </c>
      <c r="O51" s="8">
        <f t="shared" si="5"/>
        <v>28</v>
      </c>
      <c r="P51" s="8" t="str">
        <f t="shared" si="6"/>
        <v>March</v>
      </c>
      <c r="Q51" s="8">
        <f t="shared" si="7"/>
        <v>7</v>
      </c>
      <c r="R51" s="8" t="str">
        <f t="shared" si="8"/>
        <v>Eligible</v>
      </c>
      <c r="S51" s="8" t="str">
        <f t="shared" si="9"/>
        <v>False</v>
      </c>
      <c r="T51" s="9">
        <f t="shared" si="10"/>
        <v>3856.5</v>
      </c>
      <c r="U51" s="10"/>
    </row>
    <row r="52" ht="15.75" customHeight="1">
      <c r="A52" s="4" t="s">
        <v>175</v>
      </c>
      <c r="B52" s="4" t="s">
        <v>176</v>
      </c>
      <c r="C52" s="4" t="s">
        <v>177</v>
      </c>
      <c r="D52" s="4" t="s">
        <v>46</v>
      </c>
      <c r="E52" s="4" t="s">
        <v>53</v>
      </c>
      <c r="F52" s="5">
        <v>34.0</v>
      </c>
      <c r="G52" s="6">
        <v>35215.0</v>
      </c>
      <c r="H52" s="6">
        <v>45053.0</v>
      </c>
      <c r="I52" s="7">
        <v>9136.0</v>
      </c>
      <c r="J52" s="8" t="str">
        <f t="shared" si="1"/>
        <v>Fail</v>
      </c>
      <c r="K52" s="8" t="str">
        <f t="array" ref="K52">IFS(F52&gt;=90,"Excellent",F52&gt;=70,"Good",F52&gt;=50,"Average",F52&lt;50,"Poor")</f>
        <v>Poor</v>
      </c>
      <c r="L52" s="8" t="str">
        <f t="shared" si="2"/>
        <v>Sal</v>
      </c>
      <c r="M52" s="8" t="str">
        <f t="shared" si="3"/>
        <v>Russell Robinson</v>
      </c>
      <c r="N52" s="8">
        <f t="shared" si="4"/>
        <v>6</v>
      </c>
      <c r="O52" s="8">
        <f t="shared" si="5"/>
        <v>29</v>
      </c>
      <c r="P52" s="8" t="str">
        <f t="shared" si="6"/>
        <v>May</v>
      </c>
      <c r="Q52" s="8">
        <f t="shared" si="7"/>
        <v>2</v>
      </c>
      <c r="R52" s="8" t="str">
        <f t="shared" si="8"/>
        <v>Not Eligible</v>
      </c>
      <c r="S52" s="8" t="str">
        <f t="shared" si="9"/>
        <v>True</v>
      </c>
      <c r="T52" s="9">
        <f t="shared" si="10"/>
        <v>4568</v>
      </c>
      <c r="U52" s="10"/>
    </row>
    <row r="53" ht="15.75" customHeight="1">
      <c r="A53" s="4" t="s">
        <v>178</v>
      </c>
      <c r="B53" s="4" t="s">
        <v>179</v>
      </c>
      <c r="C53" s="4" t="s">
        <v>180</v>
      </c>
      <c r="D53" s="4" t="s">
        <v>24</v>
      </c>
      <c r="E53" s="4" t="s">
        <v>25</v>
      </c>
      <c r="F53" s="5">
        <v>46.0</v>
      </c>
      <c r="G53" s="6">
        <v>34087.0</v>
      </c>
      <c r="H53" s="6">
        <v>43214.0</v>
      </c>
      <c r="I53" s="7">
        <v>3167.0</v>
      </c>
      <c r="J53" s="8" t="str">
        <f t="shared" si="1"/>
        <v>Fail</v>
      </c>
      <c r="K53" s="8" t="str">
        <f t="array" ref="K53">IFS(F53&gt;=90,"Excellent",F53&gt;=70,"Good",F53&gt;=50,"Average",F53&lt;50,"Poor")</f>
        <v>Poor</v>
      </c>
      <c r="L53" s="8" t="str">
        <f t="shared" si="2"/>
        <v>IT</v>
      </c>
      <c r="M53" s="8" t="str">
        <f t="shared" si="3"/>
        <v>Brooke Schroeder</v>
      </c>
      <c r="N53" s="8">
        <f t="shared" si="4"/>
        <v>6</v>
      </c>
      <c r="O53" s="8">
        <f t="shared" si="5"/>
        <v>32</v>
      </c>
      <c r="P53" s="8" t="str">
        <f t="shared" si="6"/>
        <v>April</v>
      </c>
      <c r="Q53" s="8">
        <f t="shared" si="7"/>
        <v>7</v>
      </c>
      <c r="R53" s="8" t="str">
        <f t="shared" si="8"/>
        <v>Eligible</v>
      </c>
      <c r="S53" s="8" t="str">
        <f t="shared" si="9"/>
        <v>True</v>
      </c>
      <c r="T53" s="9">
        <f t="shared" si="10"/>
        <v>1583.5</v>
      </c>
      <c r="U53" s="10"/>
    </row>
    <row r="54" ht="15.75" customHeight="1">
      <c r="A54" s="4" t="s">
        <v>181</v>
      </c>
      <c r="B54" s="4" t="s">
        <v>182</v>
      </c>
      <c r="C54" s="4" t="s">
        <v>183</v>
      </c>
      <c r="D54" s="4" t="s">
        <v>46</v>
      </c>
      <c r="E54" s="4" t="s">
        <v>47</v>
      </c>
      <c r="F54" s="5">
        <v>40.0</v>
      </c>
      <c r="G54" s="6">
        <v>34213.0</v>
      </c>
      <c r="H54" s="6">
        <v>43409.0</v>
      </c>
      <c r="I54" s="7">
        <v>8446.0</v>
      </c>
      <c r="J54" s="8" t="str">
        <f t="shared" si="1"/>
        <v>Fail</v>
      </c>
      <c r="K54" s="8" t="str">
        <f t="array" ref="K54">IFS(F54&gt;=90,"Excellent",F54&gt;=70,"Good",F54&gt;=50,"Average",F54&lt;50,"Poor")</f>
        <v>Poor</v>
      </c>
      <c r="L54" s="8" t="str">
        <f t="shared" si="2"/>
        <v>Sal</v>
      </c>
      <c r="M54" s="8" t="str">
        <f t="shared" si="3"/>
        <v>Lorraine Price</v>
      </c>
      <c r="N54" s="8">
        <f t="shared" si="4"/>
        <v>6</v>
      </c>
      <c r="O54" s="8">
        <f t="shared" si="5"/>
        <v>32</v>
      </c>
      <c r="P54" s="8" t="str">
        <f t="shared" si="6"/>
        <v>November</v>
      </c>
      <c r="Q54" s="8">
        <f t="shared" si="7"/>
        <v>6</v>
      </c>
      <c r="R54" s="8" t="str">
        <f t="shared" si="8"/>
        <v>Eligible</v>
      </c>
      <c r="S54" s="8" t="str">
        <f t="shared" si="9"/>
        <v>True</v>
      </c>
      <c r="T54" s="9">
        <f t="shared" si="10"/>
        <v>4223</v>
      </c>
      <c r="U54" s="10"/>
    </row>
    <row r="55" ht="15.75" customHeight="1">
      <c r="A55" s="4" t="s">
        <v>184</v>
      </c>
      <c r="B55" s="4" t="s">
        <v>185</v>
      </c>
      <c r="C55" s="4" t="s">
        <v>186</v>
      </c>
      <c r="D55" s="4" t="s">
        <v>29</v>
      </c>
      <c r="E55" s="4" t="s">
        <v>39</v>
      </c>
      <c r="F55" s="5">
        <v>34.0</v>
      </c>
      <c r="G55" s="6">
        <v>33749.0</v>
      </c>
      <c r="H55" s="6">
        <v>41790.0</v>
      </c>
      <c r="I55" s="7">
        <v>5575.0</v>
      </c>
      <c r="J55" s="8" t="str">
        <f t="shared" si="1"/>
        <v>Fail</v>
      </c>
      <c r="K55" s="8" t="str">
        <f t="array" ref="K55">IFS(F55&gt;=90,"Excellent",F55&gt;=70,"Good",F55&gt;=50,"Average",F55&lt;50,"Poor")</f>
        <v>Poor</v>
      </c>
      <c r="L55" s="8" t="str">
        <f t="shared" si="2"/>
        <v>Fin</v>
      </c>
      <c r="M55" s="8" t="str">
        <f t="shared" si="3"/>
        <v>Scott Diaz</v>
      </c>
      <c r="N55" s="8">
        <f t="shared" si="4"/>
        <v>6</v>
      </c>
      <c r="O55" s="8">
        <f t="shared" si="5"/>
        <v>33</v>
      </c>
      <c r="P55" s="8" t="str">
        <f t="shared" si="6"/>
        <v>May</v>
      </c>
      <c r="Q55" s="8">
        <f t="shared" si="7"/>
        <v>11</v>
      </c>
      <c r="R55" s="8" t="str">
        <f t="shared" si="8"/>
        <v>Eligible</v>
      </c>
      <c r="S55" s="8" t="str">
        <f t="shared" si="9"/>
        <v>False</v>
      </c>
      <c r="T55" s="9">
        <f t="shared" si="10"/>
        <v>2787.5</v>
      </c>
      <c r="U55" s="10"/>
    </row>
    <row r="56" ht="15.75" customHeight="1">
      <c r="A56" s="4" t="s">
        <v>187</v>
      </c>
      <c r="B56" s="4" t="s">
        <v>188</v>
      </c>
      <c r="C56" s="4" t="s">
        <v>189</v>
      </c>
      <c r="D56" s="4" t="s">
        <v>24</v>
      </c>
      <c r="E56" s="4" t="s">
        <v>89</v>
      </c>
      <c r="F56" s="5">
        <v>100.0</v>
      </c>
      <c r="G56" s="6">
        <v>33616.0</v>
      </c>
      <c r="H56" s="6">
        <v>42717.0</v>
      </c>
      <c r="I56" s="7">
        <v>9213.0</v>
      </c>
      <c r="J56" s="8" t="str">
        <f t="shared" si="1"/>
        <v>Pass</v>
      </c>
      <c r="K56" s="8" t="str">
        <f t="array" ref="K56">IFS(F56&gt;=90,"Excellent",F56&gt;=70,"Good",F56&gt;=50,"Average",F56&lt;50,"Poor")</f>
        <v>Excellent</v>
      </c>
      <c r="L56" s="8" t="str">
        <f t="shared" si="2"/>
        <v>IT</v>
      </c>
      <c r="M56" s="8" t="str">
        <f t="shared" si="3"/>
        <v>Kathleen Morris</v>
      </c>
      <c r="N56" s="8">
        <f t="shared" si="4"/>
        <v>6</v>
      </c>
      <c r="O56" s="8">
        <f t="shared" si="5"/>
        <v>33</v>
      </c>
      <c r="P56" s="8" t="str">
        <f t="shared" si="6"/>
        <v>December</v>
      </c>
      <c r="Q56" s="8">
        <f t="shared" si="7"/>
        <v>8</v>
      </c>
      <c r="R56" s="8" t="str">
        <f t="shared" si="8"/>
        <v>Eligible</v>
      </c>
      <c r="S56" s="8" t="str">
        <f t="shared" si="9"/>
        <v>True</v>
      </c>
      <c r="T56" s="9">
        <f t="shared" si="10"/>
        <v>4606.5</v>
      </c>
      <c r="U56" s="10"/>
    </row>
    <row r="57" ht="15.75" customHeight="1">
      <c r="A57" s="4" t="s">
        <v>190</v>
      </c>
      <c r="B57" s="4" t="s">
        <v>191</v>
      </c>
      <c r="C57" s="4" t="s">
        <v>192</v>
      </c>
      <c r="D57" s="4" t="s">
        <v>75</v>
      </c>
      <c r="E57" s="4" t="s">
        <v>76</v>
      </c>
      <c r="F57" s="5">
        <v>75.0</v>
      </c>
      <c r="G57" s="6">
        <v>37789.0</v>
      </c>
      <c r="H57" s="6">
        <v>43801.0</v>
      </c>
      <c r="I57" s="7">
        <v>3649.0</v>
      </c>
      <c r="J57" s="8" t="str">
        <f t="shared" si="1"/>
        <v>Pass</v>
      </c>
      <c r="K57" s="8" t="str">
        <f t="array" ref="K57">IFS(F57&gt;=90,"Excellent",F57&gt;=70,"Good",F57&gt;=50,"Average",F57&lt;50,"Poor")</f>
        <v>Good</v>
      </c>
      <c r="L57" s="8" t="str">
        <f t="shared" si="2"/>
        <v>Mar</v>
      </c>
      <c r="M57" s="8" t="str">
        <f t="shared" si="3"/>
        <v>Jessica Hicks</v>
      </c>
      <c r="N57" s="8">
        <f t="shared" si="4"/>
        <v>6</v>
      </c>
      <c r="O57" s="8">
        <f t="shared" si="5"/>
        <v>22</v>
      </c>
      <c r="P57" s="8" t="str">
        <f t="shared" si="6"/>
        <v>December</v>
      </c>
      <c r="Q57" s="8">
        <f t="shared" si="7"/>
        <v>5</v>
      </c>
      <c r="R57" s="8" t="str">
        <f t="shared" si="8"/>
        <v>Not Eligible</v>
      </c>
      <c r="S57" s="8" t="str">
        <f t="shared" si="9"/>
        <v>False</v>
      </c>
      <c r="T57" s="9">
        <f t="shared" si="10"/>
        <v>1824.5</v>
      </c>
      <c r="U57" s="10"/>
    </row>
    <row r="58" ht="15.75" customHeight="1">
      <c r="A58" s="4" t="s">
        <v>193</v>
      </c>
      <c r="B58" s="4" t="s">
        <v>194</v>
      </c>
      <c r="C58" s="4" t="s">
        <v>195</v>
      </c>
      <c r="D58" s="4" t="s">
        <v>75</v>
      </c>
      <c r="E58" s="4" t="s">
        <v>85</v>
      </c>
      <c r="F58" s="5">
        <v>85.0</v>
      </c>
      <c r="G58" s="6">
        <v>33098.0</v>
      </c>
      <c r="H58" s="6">
        <v>42365.0</v>
      </c>
      <c r="I58" s="7">
        <v>5756.0</v>
      </c>
      <c r="J58" s="8" t="str">
        <f t="shared" si="1"/>
        <v>Pass</v>
      </c>
      <c r="K58" s="8" t="str">
        <f t="array" ref="K58">IFS(F58&gt;=90,"Excellent",F58&gt;=70,"Good",F58&gt;=50,"Average",F58&lt;50,"Poor")</f>
        <v>Good</v>
      </c>
      <c r="L58" s="8" t="str">
        <f t="shared" si="2"/>
        <v>Mar</v>
      </c>
      <c r="M58" s="8" t="str">
        <f t="shared" si="3"/>
        <v>Dawn Austin</v>
      </c>
      <c r="N58" s="8">
        <f t="shared" si="4"/>
        <v>6</v>
      </c>
      <c r="O58" s="8">
        <f t="shared" si="5"/>
        <v>35</v>
      </c>
      <c r="P58" s="8" t="str">
        <f t="shared" si="6"/>
        <v>December</v>
      </c>
      <c r="Q58" s="8">
        <f t="shared" si="7"/>
        <v>9</v>
      </c>
      <c r="R58" s="8" t="str">
        <f t="shared" si="8"/>
        <v>Eligible</v>
      </c>
      <c r="S58" s="8" t="str">
        <f t="shared" si="9"/>
        <v>False</v>
      </c>
      <c r="T58" s="9">
        <f t="shared" si="10"/>
        <v>2878</v>
      </c>
      <c r="U58" s="10"/>
    </row>
    <row r="59" ht="15.75" customHeight="1">
      <c r="A59" s="4" t="s">
        <v>196</v>
      </c>
      <c r="B59" s="4" t="s">
        <v>197</v>
      </c>
      <c r="C59" s="4" t="s">
        <v>113</v>
      </c>
      <c r="D59" s="4" t="s">
        <v>24</v>
      </c>
      <c r="E59" s="4" t="s">
        <v>25</v>
      </c>
      <c r="F59" s="5">
        <v>74.0</v>
      </c>
      <c r="G59" s="6">
        <v>35226.0</v>
      </c>
      <c r="H59" s="6">
        <v>45182.0</v>
      </c>
      <c r="I59" s="7">
        <v>3406.0</v>
      </c>
      <c r="J59" s="8" t="str">
        <f t="shared" si="1"/>
        <v>Pass</v>
      </c>
      <c r="K59" s="8" t="str">
        <f t="array" ref="K59">IFS(F59&gt;=90,"Excellent",F59&gt;=70,"Good",F59&gt;=50,"Average",F59&lt;50,"Poor")</f>
        <v>Good</v>
      </c>
      <c r="L59" s="8" t="str">
        <f t="shared" si="2"/>
        <v>IT</v>
      </c>
      <c r="M59" s="8" t="str">
        <f t="shared" si="3"/>
        <v>Anna Martin</v>
      </c>
      <c r="N59" s="8">
        <f t="shared" si="4"/>
        <v>6</v>
      </c>
      <c r="O59" s="8">
        <f t="shared" si="5"/>
        <v>29</v>
      </c>
      <c r="P59" s="8" t="str">
        <f t="shared" si="6"/>
        <v>September</v>
      </c>
      <c r="Q59" s="8">
        <f t="shared" si="7"/>
        <v>2</v>
      </c>
      <c r="R59" s="8" t="str">
        <f t="shared" si="8"/>
        <v>Not Eligible</v>
      </c>
      <c r="S59" s="8" t="str">
        <f t="shared" si="9"/>
        <v>True</v>
      </c>
      <c r="T59" s="9">
        <f t="shared" si="10"/>
        <v>1703</v>
      </c>
      <c r="U59" s="10"/>
    </row>
    <row r="60" ht="15.75" customHeight="1">
      <c r="A60" s="4" t="s">
        <v>198</v>
      </c>
      <c r="B60" s="4" t="s">
        <v>199</v>
      </c>
      <c r="C60" s="4" t="s">
        <v>200</v>
      </c>
      <c r="D60" s="4" t="s">
        <v>34</v>
      </c>
      <c r="E60" s="4" t="s">
        <v>35</v>
      </c>
      <c r="F60" s="5">
        <v>31.0</v>
      </c>
      <c r="G60" s="6">
        <v>36745.0</v>
      </c>
      <c r="H60" s="6">
        <v>45140.0</v>
      </c>
      <c r="I60" s="7">
        <v>5912.0</v>
      </c>
      <c r="J60" s="8" t="str">
        <f t="shared" si="1"/>
        <v>Fail</v>
      </c>
      <c r="K60" s="8" t="str">
        <f t="array" ref="K60">IFS(F60&gt;=90,"Excellent",F60&gt;=70,"Good",F60&gt;=50,"Average",F60&lt;50,"Poor")</f>
        <v>Poor</v>
      </c>
      <c r="L60" s="8" t="str">
        <f t="shared" si="2"/>
        <v>HR</v>
      </c>
      <c r="M60" s="8" t="str">
        <f t="shared" si="3"/>
        <v>Wendy Phillips</v>
      </c>
      <c r="N60" s="8">
        <f t="shared" si="4"/>
        <v>6</v>
      </c>
      <c r="O60" s="8">
        <f t="shared" si="5"/>
        <v>25</v>
      </c>
      <c r="P60" s="8" t="str">
        <f t="shared" si="6"/>
        <v>August</v>
      </c>
      <c r="Q60" s="8">
        <f t="shared" si="7"/>
        <v>2</v>
      </c>
      <c r="R60" s="8" t="str">
        <f t="shared" si="8"/>
        <v>Not Eligible</v>
      </c>
      <c r="S60" s="8" t="str">
        <f t="shared" si="9"/>
        <v>False</v>
      </c>
      <c r="T60" s="9">
        <f t="shared" si="10"/>
        <v>2956</v>
      </c>
      <c r="U60" s="10"/>
    </row>
    <row r="61" ht="15.75" customHeight="1">
      <c r="A61" s="4" t="s">
        <v>201</v>
      </c>
      <c r="B61" s="4" t="s">
        <v>202</v>
      </c>
      <c r="C61" s="4" t="s">
        <v>203</v>
      </c>
      <c r="D61" s="4" t="s">
        <v>46</v>
      </c>
      <c r="E61" s="4" t="s">
        <v>53</v>
      </c>
      <c r="F61" s="5">
        <v>58.0</v>
      </c>
      <c r="G61" s="6">
        <v>33989.0</v>
      </c>
      <c r="H61" s="6">
        <v>43478.0</v>
      </c>
      <c r="I61" s="7">
        <v>5219.0</v>
      </c>
      <c r="J61" s="8" t="str">
        <f t="shared" si="1"/>
        <v>Pass</v>
      </c>
      <c r="K61" s="8" t="str">
        <f t="array" ref="K61">IFS(F61&gt;=90,"Excellent",F61&gt;=70,"Good",F61&gt;=50,"Average",F61&lt;50,"Poor")</f>
        <v>Average</v>
      </c>
      <c r="L61" s="8" t="str">
        <f t="shared" si="2"/>
        <v>Sal</v>
      </c>
      <c r="M61" s="8" t="str">
        <f t="shared" si="3"/>
        <v>Misty Parker</v>
      </c>
      <c r="N61" s="8">
        <f t="shared" si="4"/>
        <v>6</v>
      </c>
      <c r="O61" s="8">
        <f t="shared" si="5"/>
        <v>32</v>
      </c>
      <c r="P61" s="8" t="str">
        <f t="shared" si="6"/>
        <v>January</v>
      </c>
      <c r="Q61" s="8">
        <f t="shared" si="7"/>
        <v>6</v>
      </c>
      <c r="R61" s="8" t="str">
        <f t="shared" si="8"/>
        <v>Eligible</v>
      </c>
      <c r="S61" s="8" t="str">
        <f t="shared" si="9"/>
        <v>True</v>
      </c>
      <c r="T61" s="9">
        <f t="shared" si="10"/>
        <v>2609.5</v>
      </c>
      <c r="U61" s="10"/>
    </row>
    <row r="62" ht="15.75" customHeight="1">
      <c r="A62" s="4" t="s">
        <v>204</v>
      </c>
      <c r="B62" s="4" t="s">
        <v>205</v>
      </c>
      <c r="C62" s="4" t="s">
        <v>206</v>
      </c>
      <c r="D62" s="4" t="s">
        <v>24</v>
      </c>
      <c r="E62" s="4" t="s">
        <v>207</v>
      </c>
      <c r="F62" s="5">
        <v>66.0</v>
      </c>
      <c r="G62" s="6">
        <v>32808.0</v>
      </c>
      <c r="H62" s="6">
        <v>43747.0</v>
      </c>
      <c r="I62" s="7">
        <v>8975.0</v>
      </c>
      <c r="J62" s="8" t="str">
        <f t="shared" si="1"/>
        <v>Pass</v>
      </c>
      <c r="K62" s="8" t="str">
        <f t="array" ref="K62">IFS(F62&gt;=90,"Excellent",F62&gt;=70,"Good",F62&gt;=50,"Average",F62&lt;50,"Poor")</f>
        <v>Average</v>
      </c>
      <c r="L62" s="8" t="str">
        <f t="shared" si="2"/>
        <v>IT</v>
      </c>
      <c r="M62" s="8" t="str">
        <f t="shared" si="3"/>
        <v>Joshua Holt</v>
      </c>
      <c r="N62" s="8">
        <f t="shared" si="4"/>
        <v>6</v>
      </c>
      <c r="O62" s="8">
        <f t="shared" si="5"/>
        <v>36</v>
      </c>
      <c r="P62" s="8" t="str">
        <f t="shared" si="6"/>
        <v>October</v>
      </c>
      <c r="Q62" s="8">
        <f t="shared" si="7"/>
        <v>6</v>
      </c>
      <c r="R62" s="8" t="str">
        <f t="shared" si="8"/>
        <v>Eligible</v>
      </c>
      <c r="S62" s="8" t="str">
        <f t="shared" si="9"/>
        <v>True</v>
      </c>
      <c r="T62" s="9">
        <f t="shared" si="10"/>
        <v>4487.5</v>
      </c>
      <c r="U62" s="10"/>
    </row>
    <row r="63" ht="15.75" customHeight="1">
      <c r="A63" s="4" t="s">
        <v>208</v>
      </c>
      <c r="B63" s="4" t="s">
        <v>209</v>
      </c>
      <c r="C63" s="4" t="s">
        <v>210</v>
      </c>
      <c r="D63" s="4" t="s">
        <v>24</v>
      </c>
      <c r="E63" s="4" t="s">
        <v>25</v>
      </c>
      <c r="F63" s="5">
        <v>42.0</v>
      </c>
      <c r="G63" s="6">
        <v>36981.0</v>
      </c>
      <c r="H63" s="6">
        <v>45745.0</v>
      </c>
      <c r="I63" s="7">
        <v>4608.0</v>
      </c>
      <c r="J63" s="8" t="str">
        <f t="shared" si="1"/>
        <v>Fail</v>
      </c>
      <c r="K63" s="8" t="str">
        <f t="array" ref="K63">IFS(F63&gt;=90,"Excellent",F63&gt;=70,"Good",F63&gt;=50,"Average",F63&lt;50,"Poor")</f>
        <v>Poor</v>
      </c>
      <c r="L63" s="8" t="str">
        <f t="shared" si="2"/>
        <v>IT</v>
      </c>
      <c r="M63" s="8" t="str">
        <f t="shared" si="3"/>
        <v>Amy Moore</v>
      </c>
      <c r="N63" s="8">
        <f t="shared" si="4"/>
        <v>6</v>
      </c>
      <c r="O63" s="8">
        <f t="shared" si="5"/>
        <v>24</v>
      </c>
      <c r="P63" s="8" t="str">
        <f t="shared" si="6"/>
        <v>March</v>
      </c>
      <c r="Q63" s="8">
        <f t="shared" si="7"/>
        <v>0</v>
      </c>
      <c r="R63" s="8" t="str">
        <f t="shared" si="8"/>
        <v>Not Eligible</v>
      </c>
      <c r="S63" s="8" t="str">
        <f t="shared" si="9"/>
        <v>True</v>
      </c>
      <c r="T63" s="9">
        <f t="shared" si="10"/>
        <v>2304</v>
      </c>
      <c r="U63" s="10"/>
    </row>
    <row r="64" ht="15.75" customHeight="1">
      <c r="A64" s="4" t="s">
        <v>211</v>
      </c>
      <c r="B64" s="4" t="s">
        <v>212</v>
      </c>
      <c r="C64" s="4" t="s">
        <v>213</v>
      </c>
      <c r="D64" s="4" t="s">
        <v>29</v>
      </c>
      <c r="E64" s="4" t="s">
        <v>39</v>
      </c>
      <c r="F64" s="5">
        <v>37.0</v>
      </c>
      <c r="G64" s="6">
        <v>33766.0</v>
      </c>
      <c r="H64" s="6">
        <v>41735.0</v>
      </c>
      <c r="I64" s="7">
        <v>4742.0</v>
      </c>
      <c r="J64" s="8" t="str">
        <f t="shared" si="1"/>
        <v>Fail</v>
      </c>
      <c r="K64" s="8" t="str">
        <f t="array" ref="K64">IFS(F64&gt;=90,"Excellent",F64&gt;=70,"Good",F64&gt;=50,"Average",F64&lt;50,"Poor")</f>
        <v>Poor</v>
      </c>
      <c r="L64" s="8" t="str">
        <f t="shared" si="2"/>
        <v>Fin</v>
      </c>
      <c r="M64" s="8" t="str">
        <f t="shared" si="3"/>
        <v>Rebecca Ellis</v>
      </c>
      <c r="N64" s="8">
        <f t="shared" si="4"/>
        <v>6</v>
      </c>
      <c r="O64" s="8">
        <f t="shared" si="5"/>
        <v>33</v>
      </c>
      <c r="P64" s="8" t="str">
        <f t="shared" si="6"/>
        <v>April</v>
      </c>
      <c r="Q64" s="8">
        <f t="shared" si="7"/>
        <v>11</v>
      </c>
      <c r="R64" s="8" t="str">
        <f t="shared" si="8"/>
        <v>Eligible</v>
      </c>
      <c r="S64" s="8" t="str">
        <f t="shared" si="9"/>
        <v>False</v>
      </c>
      <c r="T64" s="9">
        <f t="shared" si="10"/>
        <v>2371</v>
      </c>
      <c r="U64" s="10"/>
    </row>
    <row r="65" ht="15.75" customHeight="1">
      <c r="A65" s="4" t="s">
        <v>214</v>
      </c>
      <c r="B65" s="4" t="s">
        <v>215</v>
      </c>
      <c r="C65" s="4" t="s">
        <v>216</v>
      </c>
      <c r="D65" s="4" t="s">
        <v>46</v>
      </c>
      <c r="E65" s="4" t="s">
        <v>217</v>
      </c>
      <c r="F65" s="5">
        <v>76.0</v>
      </c>
      <c r="G65" s="6">
        <v>34883.0</v>
      </c>
      <c r="H65" s="6">
        <v>41308.0</v>
      </c>
      <c r="I65" s="7">
        <v>7859.0</v>
      </c>
      <c r="J65" s="8" t="str">
        <f t="shared" si="1"/>
        <v>Pass</v>
      </c>
      <c r="K65" s="8" t="str">
        <f t="array" ref="K65">IFS(F65&gt;=90,"Excellent",F65&gt;=70,"Good",F65&gt;=50,"Average",F65&lt;50,"Poor")</f>
        <v>Good</v>
      </c>
      <c r="L65" s="8" t="str">
        <f t="shared" si="2"/>
        <v>Sal</v>
      </c>
      <c r="M65" s="8" t="str">
        <f t="shared" si="3"/>
        <v>Jennifer Hampton</v>
      </c>
      <c r="N65" s="8">
        <f t="shared" si="4"/>
        <v>6</v>
      </c>
      <c r="O65" s="8">
        <f t="shared" si="5"/>
        <v>30</v>
      </c>
      <c r="P65" s="8" t="str">
        <f t="shared" si="6"/>
        <v>February</v>
      </c>
      <c r="Q65" s="8">
        <f t="shared" si="7"/>
        <v>12</v>
      </c>
      <c r="R65" s="8" t="str">
        <f t="shared" si="8"/>
        <v>Eligible</v>
      </c>
      <c r="S65" s="8" t="str">
        <f t="shared" si="9"/>
        <v>True</v>
      </c>
      <c r="T65" s="9">
        <f t="shared" si="10"/>
        <v>3929.5</v>
      </c>
      <c r="U65" s="10"/>
    </row>
    <row r="66" ht="15.75" customHeight="1">
      <c r="A66" s="4" t="s">
        <v>218</v>
      </c>
      <c r="B66" s="4" t="s">
        <v>219</v>
      </c>
      <c r="C66" s="4" t="s">
        <v>220</v>
      </c>
      <c r="D66" s="4" t="s">
        <v>34</v>
      </c>
      <c r="E66" s="4" t="s">
        <v>71</v>
      </c>
      <c r="F66" s="5">
        <v>57.0</v>
      </c>
      <c r="G66" s="6">
        <v>32092.0</v>
      </c>
      <c r="H66" s="6">
        <v>42565.0</v>
      </c>
      <c r="I66" s="7">
        <v>4516.0</v>
      </c>
      <c r="J66" s="8" t="str">
        <f t="shared" si="1"/>
        <v>Pass</v>
      </c>
      <c r="K66" s="8" t="str">
        <f t="array" ref="K66">IFS(F66&gt;=90,"Excellent",F66&gt;=70,"Good",F66&gt;=50,"Average",F66&lt;50,"Poor")</f>
        <v>Average</v>
      </c>
      <c r="L66" s="8" t="str">
        <f t="shared" si="2"/>
        <v>HR</v>
      </c>
      <c r="M66" s="8" t="str">
        <f t="shared" si="3"/>
        <v>Anthony Newman</v>
      </c>
      <c r="N66" s="8">
        <f t="shared" si="4"/>
        <v>6</v>
      </c>
      <c r="O66" s="8">
        <f t="shared" si="5"/>
        <v>37</v>
      </c>
      <c r="P66" s="8" t="str">
        <f t="shared" si="6"/>
        <v>July</v>
      </c>
      <c r="Q66" s="8">
        <f t="shared" si="7"/>
        <v>9</v>
      </c>
      <c r="R66" s="8" t="str">
        <f t="shared" si="8"/>
        <v>Eligible</v>
      </c>
      <c r="S66" s="8" t="str">
        <f t="shared" si="9"/>
        <v>False</v>
      </c>
      <c r="T66" s="9">
        <f t="shared" si="10"/>
        <v>2258</v>
      </c>
      <c r="U66" s="10"/>
    </row>
    <row r="67" ht="15.75" customHeight="1">
      <c r="A67" s="4" t="s">
        <v>221</v>
      </c>
      <c r="B67" s="4" t="s">
        <v>222</v>
      </c>
      <c r="C67" s="4" t="s">
        <v>223</v>
      </c>
      <c r="D67" s="4" t="s">
        <v>46</v>
      </c>
      <c r="E67" s="4" t="s">
        <v>47</v>
      </c>
      <c r="F67" s="5">
        <v>46.0</v>
      </c>
      <c r="G67" s="6">
        <v>31620.0</v>
      </c>
      <c r="H67" s="6">
        <v>43542.0</v>
      </c>
      <c r="I67" s="7">
        <v>8879.0</v>
      </c>
      <c r="J67" s="8" t="str">
        <f t="shared" si="1"/>
        <v>Fail</v>
      </c>
      <c r="K67" s="8" t="str">
        <f t="array" ref="K67">IFS(F67&gt;=90,"Excellent",F67&gt;=70,"Good",F67&gt;=50,"Average",F67&lt;50,"Poor")</f>
        <v>Poor</v>
      </c>
      <c r="L67" s="8" t="str">
        <f t="shared" si="2"/>
        <v>Sal</v>
      </c>
      <c r="M67" s="8" t="str">
        <f t="shared" si="3"/>
        <v>Jonathan Allen</v>
      </c>
      <c r="N67" s="8">
        <f t="shared" si="4"/>
        <v>6</v>
      </c>
      <c r="O67" s="8">
        <f t="shared" si="5"/>
        <v>39</v>
      </c>
      <c r="P67" s="8" t="str">
        <f t="shared" si="6"/>
        <v>March</v>
      </c>
      <c r="Q67" s="8">
        <f t="shared" si="7"/>
        <v>6</v>
      </c>
      <c r="R67" s="8" t="str">
        <f t="shared" si="8"/>
        <v>Eligible</v>
      </c>
      <c r="S67" s="8" t="str">
        <f t="shared" si="9"/>
        <v>True</v>
      </c>
      <c r="T67" s="9">
        <f t="shared" si="10"/>
        <v>4439.5</v>
      </c>
      <c r="U67" s="10"/>
    </row>
    <row r="68" ht="15.75" customHeight="1">
      <c r="A68" s="4" t="s">
        <v>224</v>
      </c>
      <c r="B68" s="4" t="s">
        <v>225</v>
      </c>
      <c r="C68" s="4" t="s">
        <v>226</v>
      </c>
      <c r="D68" s="4" t="s">
        <v>46</v>
      </c>
      <c r="E68" s="4" t="s">
        <v>217</v>
      </c>
      <c r="F68" s="5">
        <v>67.0</v>
      </c>
      <c r="G68" s="6">
        <v>37792.0</v>
      </c>
      <c r="H68" s="6">
        <v>41574.0</v>
      </c>
      <c r="I68" s="7">
        <v>3376.0</v>
      </c>
      <c r="J68" s="8" t="str">
        <f t="shared" si="1"/>
        <v>Pass</v>
      </c>
      <c r="K68" s="8" t="str">
        <f t="array" ref="K68">IFS(F68&gt;=90,"Excellent",F68&gt;=70,"Good",F68&gt;=50,"Average",F68&lt;50,"Poor")</f>
        <v>Average</v>
      </c>
      <c r="L68" s="8" t="str">
        <f t="shared" si="2"/>
        <v>Sal</v>
      </c>
      <c r="M68" s="8" t="str">
        <f t="shared" si="3"/>
        <v>Margaret Smith</v>
      </c>
      <c r="N68" s="8">
        <f t="shared" si="4"/>
        <v>6</v>
      </c>
      <c r="O68" s="8">
        <f t="shared" si="5"/>
        <v>22</v>
      </c>
      <c r="P68" s="8" t="str">
        <f t="shared" si="6"/>
        <v>October</v>
      </c>
      <c r="Q68" s="8">
        <f t="shared" si="7"/>
        <v>12</v>
      </c>
      <c r="R68" s="8" t="str">
        <f t="shared" si="8"/>
        <v>Not Eligible</v>
      </c>
      <c r="S68" s="8" t="str">
        <f t="shared" si="9"/>
        <v>True</v>
      </c>
      <c r="T68" s="9">
        <f t="shared" si="10"/>
        <v>1688</v>
      </c>
      <c r="U68" s="10"/>
    </row>
    <row r="69" ht="15.75" customHeight="1">
      <c r="A69" s="4" t="s">
        <v>227</v>
      </c>
      <c r="B69" s="4" t="s">
        <v>228</v>
      </c>
      <c r="C69" s="4" t="s">
        <v>229</v>
      </c>
      <c r="D69" s="4" t="s">
        <v>29</v>
      </c>
      <c r="E69" s="4" t="s">
        <v>39</v>
      </c>
      <c r="F69" s="5">
        <v>89.0</v>
      </c>
      <c r="G69" s="6">
        <v>36815.0</v>
      </c>
      <c r="H69" s="6">
        <v>42978.0</v>
      </c>
      <c r="I69" s="7">
        <v>8857.0</v>
      </c>
      <c r="J69" s="8" t="str">
        <f t="shared" si="1"/>
        <v>Pass</v>
      </c>
      <c r="K69" s="8" t="str">
        <f t="array" ref="K69">IFS(F69&gt;=90,"Excellent",F69&gt;=70,"Good",F69&gt;=50,"Average",F69&lt;50,"Poor")</f>
        <v>Good</v>
      </c>
      <c r="L69" s="8" t="str">
        <f t="shared" si="2"/>
        <v>Fin</v>
      </c>
      <c r="M69" s="8" t="str">
        <f t="shared" si="3"/>
        <v>Jose Griffin</v>
      </c>
      <c r="N69" s="8">
        <f t="shared" si="4"/>
        <v>6</v>
      </c>
      <c r="O69" s="8">
        <f t="shared" si="5"/>
        <v>25</v>
      </c>
      <c r="P69" s="8" t="str">
        <f t="shared" si="6"/>
        <v>August</v>
      </c>
      <c r="Q69" s="8">
        <f t="shared" si="7"/>
        <v>8</v>
      </c>
      <c r="R69" s="8" t="str">
        <f t="shared" si="8"/>
        <v>Not Eligible</v>
      </c>
      <c r="S69" s="8" t="str">
        <f t="shared" si="9"/>
        <v>False</v>
      </c>
      <c r="T69" s="9">
        <f t="shared" si="10"/>
        <v>4428.5</v>
      </c>
      <c r="U69" s="10"/>
    </row>
    <row r="70" ht="15.75" customHeight="1">
      <c r="A70" s="4" t="s">
        <v>230</v>
      </c>
      <c r="B70" s="4" t="s">
        <v>231</v>
      </c>
      <c r="C70" s="4" t="s">
        <v>232</v>
      </c>
      <c r="D70" s="4" t="s">
        <v>29</v>
      </c>
      <c r="E70" s="4" t="s">
        <v>30</v>
      </c>
      <c r="F70" s="5">
        <v>90.0</v>
      </c>
      <c r="G70" s="6">
        <v>33027.0</v>
      </c>
      <c r="H70" s="6">
        <v>44837.0</v>
      </c>
      <c r="I70" s="7">
        <v>5629.0</v>
      </c>
      <c r="J70" s="8" t="str">
        <f t="shared" si="1"/>
        <v>Pass</v>
      </c>
      <c r="K70" s="8" t="str">
        <f t="array" ref="K70">IFS(F70&gt;=90,"Excellent",F70&gt;=70,"Good",F70&gt;=50,"Average",F70&lt;50,"Poor")</f>
        <v>Excellent</v>
      </c>
      <c r="L70" s="8" t="str">
        <f t="shared" si="2"/>
        <v>Fin</v>
      </c>
      <c r="M70" s="8" t="str">
        <f t="shared" si="3"/>
        <v>Hector Cooper</v>
      </c>
      <c r="N70" s="8">
        <f t="shared" si="4"/>
        <v>6</v>
      </c>
      <c r="O70" s="8">
        <f t="shared" si="5"/>
        <v>35</v>
      </c>
      <c r="P70" s="8" t="str">
        <f t="shared" si="6"/>
        <v>October</v>
      </c>
      <c r="Q70" s="8">
        <f t="shared" si="7"/>
        <v>3</v>
      </c>
      <c r="R70" s="8" t="str">
        <f t="shared" si="8"/>
        <v>Eligible</v>
      </c>
      <c r="S70" s="8" t="str">
        <f t="shared" si="9"/>
        <v>False</v>
      </c>
      <c r="T70" s="9">
        <f t="shared" si="10"/>
        <v>2814.5</v>
      </c>
      <c r="U70" s="10"/>
    </row>
    <row r="71" ht="15.75" customHeight="1">
      <c r="A71" s="4" t="s">
        <v>233</v>
      </c>
      <c r="B71" s="4" t="s">
        <v>234</v>
      </c>
      <c r="C71" s="4" t="s">
        <v>235</v>
      </c>
      <c r="D71" s="4" t="s">
        <v>75</v>
      </c>
      <c r="E71" s="4" t="s">
        <v>85</v>
      </c>
      <c r="F71" s="5">
        <v>47.0</v>
      </c>
      <c r="G71" s="6">
        <v>38004.0</v>
      </c>
      <c r="H71" s="6">
        <v>45611.0</v>
      </c>
      <c r="I71" s="7">
        <v>8876.0</v>
      </c>
      <c r="J71" s="8" t="str">
        <f t="shared" si="1"/>
        <v>Fail</v>
      </c>
      <c r="K71" s="8" t="str">
        <f t="array" ref="K71">IFS(F71&gt;=90,"Excellent",F71&gt;=70,"Good",F71&gt;=50,"Average",F71&lt;50,"Poor")</f>
        <v>Poor</v>
      </c>
      <c r="L71" s="8" t="str">
        <f t="shared" si="2"/>
        <v>Mar</v>
      </c>
      <c r="M71" s="8" t="str">
        <f t="shared" si="3"/>
        <v>Robert Jones</v>
      </c>
      <c r="N71" s="8">
        <f t="shared" si="4"/>
        <v>6</v>
      </c>
      <c r="O71" s="8">
        <f t="shared" si="5"/>
        <v>21</v>
      </c>
      <c r="P71" s="8" t="str">
        <f t="shared" si="6"/>
        <v>November</v>
      </c>
      <c r="Q71" s="8">
        <f t="shared" si="7"/>
        <v>0</v>
      </c>
      <c r="R71" s="8" t="str">
        <f t="shared" si="8"/>
        <v>Not Eligible</v>
      </c>
      <c r="S71" s="8" t="str">
        <f t="shared" si="9"/>
        <v>False</v>
      </c>
      <c r="T71" s="9">
        <f t="shared" si="10"/>
        <v>4438</v>
      </c>
      <c r="U71" s="10"/>
    </row>
    <row r="72" ht="15.75" customHeight="1">
      <c r="A72" s="4" t="s">
        <v>236</v>
      </c>
      <c r="B72" s="4" t="s">
        <v>132</v>
      </c>
      <c r="C72" s="4" t="s">
        <v>185</v>
      </c>
      <c r="D72" s="4" t="s">
        <v>29</v>
      </c>
      <c r="E72" s="4" t="s">
        <v>30</v>
      </c>
      <c r="F72" s="5">
        <v>87.0</v>
      </c>
      <c r="G72" s="6">
        <v>38056.0</v>
      </c>
      <c r="H72" s="6">
        <v>41932.0</v>
      </c>
      <c r="I72" s="7">
        <v>7121.0</v>
      </c>
      <c r="J72" s="8" t="str">
        <f t="shared" si="1"/>
        <v>Pass</v>
      </c>
      <c r="K72" s="8" t="str">
        <f t="array" ref="K72">IFS(F72&gt;=90,"Excellent",F72&gt;=70,"Good",F72&gt;=50,"Average",F72&lt;50,"Poor")</f>
        <v>Good</v>
      </c>
      <c r="L72" s="8" t="str">
        <f t="shared" si="2"/>
        <v>Fin</v>
      </c>
      <c r="M72" s="8" t="str">
        <f t="shared" si="3"/>
        <v>Kayla Scott</v>
      </c>
      <c r="N72" s="8">
        <f t="shared" si="4"/>
        <v>6</v>
      </c>
      <c r="O72" s="8">
        <f t="shared" si="5"/>
        <v>21</v>
      </c>
      <c r="P72" s="8" t="str">
        <f t="shared" si="6"/>
        <v>October</v>
      </c>
      <c r="Q72" s="8">
        <f t="shared" si="7"/>
        <v>11</v>
      </c>
      <c r="R72" s="8" t="str">
        <f t="shared" si="8"/>
        <v>Not Eligible</v>
      </c>
      <c r="S72" s="8" t="str">
        <f t="shared" si="9"/>
        <v>False</v>
      </c>
      <c r="T72" s="9">
        <f t="shared" si="10"/>
        <v>3560.5</v>
      </c>
      <c r="U72" s="10"/>
    </row>
    <row r="73" ht="15.75" customHeight="1">
      <c r="A73" s="4" t="s">
        <v>237</v>
      </c>
      <c r="B73" s="4" t="s">
        <v>238</v>
      </c>
      <c r="C73" s="4" t="s">
        <v>239</v>
      </c>
      <c r="D73" s="4" t="s">
        <v>24</v>
      </c>
      <c r="E73" s="4" t="s">
        <v>89</v>
      </c>
      <c r="F73" s="5">
        <v>31.0</v>
      </c>
      <c r="G73" s="6">
        <v>33367.0</v>
      </c>
      <c r="H73" s="6">
        <v>43727.0</v>
      </c>
      <c r="I73" s="7">
        <v>6129.0</v>
      </c>
      <c r="J73" s="8" t="str">
        <f t="shared" si="1"/>
        <v>Fail</v>
      </c>
      <c r="K73" s="8" t="str">
        <f t="array" ref="K73">IFS(F73&gt;=90,"Excellent",F73&gt;=70,"Good",F73&gt;=50,"Average",F73&lt;50,"Poor")</f>
        <v>Poor</v>
      </c>
      <c r="L73" s="8" t="str">
        <f t="shared" si="2"/>
        <v>IT</v>
      </c>
      <c r="M73" s="8" t="str">
        <f t="shared" si="3"/>
        <v>Travis Medina</v>
      </c>
      <c r="N73" s="8">
        <f t="shared" si="4"/>
        <v>6</v>
      </c>
      <c r="O73" s="8">
        <f t="shared" si="5"/>
        <v>34</v>
      </c>
      <c r="P73" s="8" t="str">
        <f t="shared" si="6"/>
        <v>September</v>
      </c>
      <c r="Q73" s="8">
        <f t="shared" si="7"/>
        <v>6</v>
      </c>
      <c r="R73" s="8" t="str">
        <f t="shared" si="8"/>
        <v>Eligible</v>
      </c>
      <c r="S73" s="8" t="str">
        <f t="shared" si="9"/>
        <v>True</v>
      </c>
      <c r="T73" s="9">
        <f t="shared" si="10"/>
        <v>3064.5</v>
      </c>
      <c r="U73" s="10"/>
    </row>
    <row r="74" ht="15.75" customHeight="1">
      <c r="A74" s="4" t="s">
        <v>240</v>
      </c>
      <c r="B74" s="4" t="s">
        <v>124</v>
      </c>
      <c r="C74" s="4" t="s">
        <v>241</v>
      </c>
      <c r="D74" s="4" t="s">
        <v>34</v>
      </c>
      <c r="E74" s="4" t="s">
        <v>35</v>
      </c>
      <c r="F74" s="5">
        <v>56.0</v>
      </c>
      <c r="G74" s="6">
        <v>36547.0</v>
      </c>
      <c r="H74" s="6">
        <v>42073.0</v>
      </c>
      <c r="I74" s="7">
        <v>8091.0</v>
      </c>
      <c r="J74" s="8" t="str">
        <f t="shared" si="1"/>
        <v>Pass</v>
      </c>
      <c r="K74" s="8" t="str">
        <f t="array" ref="K74">IFS(F74&gt;=90,"Excellent",F74&gt;=70,"Good",F74&gt;=50,"Average",F74&lt;50,"Poor")</f>
        <v>Average</v>
      </c>
      <c r="L74" s="8" t="str">
        <f t="shared" si="2"/>
        <v>HR</v>
      </c>
      <c r="M74" s="8" t="str">
        <f t="shared" si="3"/>
        <v>Charles Norton</v>
      </c>
      <c r="N74" s="8">
        <f t="shared" si="4"/>
        <v>6</v>
      </c>
      <c r="O74" s="8">
        <f t="shared" si="5"/>
        <v>25</v>
      </c>
      <c r="P74" s="8" t="str">
        <f t="shared" si="6"/>
        <v>March</v>
      </c>
      <c r="Q74" s="8">
        <f t="shared" si="7"/>
        <v>10</v>
      </c>
      <c r="R74" s="8" t="str">
        <f t="shared" si="8"/>
        <v>Not Eligible</v>
      </c>
      <c r="S74" s="8" t="str">
        <f t="shared" si="9"/>
        <v>False</v>
      </c>
      <c r="T74" s="9">
        <f t="shared" si="10"/>
        <v>4045.5</v>
      </c>
      <c r="U74" s="10"/>
    </row>
    <row r="75" ht="15.75" customHeight="1">
      <c r="A75" s="4" t="s">
        <v>242</v>
      </c>
      <c r="B75" s="4" t="s">
        <v>243</v>
      </c>
      <c r="C75" s="4" t="s">
        <v>244</v>
      </c>
      <c r="D75" s="4" t="s">
        <v>29</v>
      </c>
      <c r="E75" s="4" t="s">
        <v>30</v>
      </c>
      <c r="F75" s="5">
        <v>41.0</v>
      </c>
      <c r="G75" s="6">
        <v>36081.0</v>
      </c>
      <c r="H75" s="6">
        <v>42694.0</v>
      </c>
      <c r="I75" s="7">
        <v>6527.0</v>
      </c>
      <c r="J75" s="8" t="str">
        <f t="shared" si="1"/>
        <v>Fail</v>
      </c>
      <c r="K75" s="8" t="str">
        <f t="array" ref="K75">IFS(F75&gt;=90,"Excellent",F75&gt;=70,"Good",F75&gt;=50,"Average",F75&lt;50,"Poor")</f>
        <v>Poor</v>
      </c>
      <c r="L75" s="8" t="str">
        <f t="shared" si="2"/>
        <v>Fin</v>
      </c>
      <c r="M75" s="8" t="str">
        <f t="shared" si="3"/>
        <v>Cathy Bowen</v>
      </c>
      <c r="N75" s="8">
        <f t="shared" si="4"/>
        <v>6</v>
      </c>
      <c r="O75" s="8">
        <f t="shared" si="5"/>
        <v>27</v>
      </c>
      <c r="P75" s="8" t="str">
        <f t="shared" si="6"/>
        <v>November</v>
      </c>
      <c r="Q75" s="8">
        <f t="shared" si="7"/>
        <v>8</v>
      </c>
      <c r="R75" s="8" t="str">
        <f t="shared" si="8"/>
        <v>Eligible</v>
      </c>
      <c r="S75" s="8" t="str">
        <f t="shared" si="9"/>
        <v>False</v>
      </c>
      <c r="T75" s="9">
        <f t="shared" si="10"/>
        <v>3263.5</v>
      </c>
      <c r="U75" s="10"/>
    </row>
    <row r="76" ht="15.75" customHeight="1">
      <c r="A76" s="4" t="s">
        <v>245</v>
      </c>
      <c r="B76" s="4" t="s">
        <v>163</v>
      </c>
      <c r="C76" s="4" t="s">
        <v>246</v>
      </c>
      <c r="D76" s="4" t="s">
        <v>24</v>
      </c>
      <c r="E76" s="4" t="s">
        <v>207</v>
      </c>
      <c r="F76" s="5">
        <v>69.0</v>
      </c>
      <c r="G76" s="6">
        <v>34841.0</v>
      </c>
      <c r="H76" s="6">
        <v>42236.0</v>
      </c>
      <c r="I76" s="7">
        <v>8753.0</v>
      </c>
      <c r="J76" s="8" t="str">
        <f t="shared" si="1"/>
        <v>Pass</v>
      </c>
      <c r="K76" s="8" t="str">
        <f t="array" ref="K76">IFS(F76&gt;=90,"Excellent",F76&gt;=70,"Good",F76&gt;=50,"Average",F76&lt;50,"Poor")</f>
        <v>Average</v>
      </c>
      <c r="L76" s="8" t="str">
        <f t="shared" si="2"/>
        <v>IT</v>
      </c>
      <c r="M76" s="8" t="str">
        <f t="shared" si="3"/>
        <v>Christopher Richards</v>
      </c>
      <c r="N76" s="8">
        <f t="shared" si="4"/>
        <v>6</v>
      </c>
      <c r="O76" s="8">
        <f t="shared" si="5"/>
        <v>30</v>
      </c>
      <c r="P76" s="8" t="str">
        <f t="shared" si="6"/>
        <v>August</v>
      </c>
      <c r="Q76" s="8">
        <f t="shared" si="7"/>
        <v>10</v>
      </c>
      <c r="R76" s="8" t="str">
        <f t="shared" si="8"/>
        <v>Eligible</v>
      </c>
      <c r="S76" s="8" t="str">
        <f t="shared" si="9"/>
        <v>True</v>
      </c>
      <c r="T76" s="9">
        <f t="shared" si="10"/>
        <v>4376.5</v>
      </c>
      <c r="U76" s="10"/>
    </row>
    <row r="77" ht="15.75" customHeight="1">
      <c r="A77" s="4" t="s">
        <v>247</v>
      </c>
      <c r="B77" s="4" t="s">
        <v>248</v>
      </c>
      <c r="C77" s="4" t="s">
        <v>249</v>
      </c>
      <c r="D77" s="4" t="s">
        <v>75</v>
      </c>
      <c r="E77" s="4" t="s">
        <v>76</v>
      </c>
      <c r="F77" s="5">
        <v>75.0</v>
      </c>
      <c r="G77" s="6">
        <v>31826.0</v>
      </c>
      <c r="H77" s="6">
        <v>43438.0</v>
      </c>
      <c r="I77" s="7">
        <v>7732.0</v>
      </c>
      <c r="J77" s="8" t="str">
        <f t="shared" si="1"/>
        <v>Pass</v>
      </c>
      <c r="K77" s="8" t="str">
        <f t="array" ref="K77">IFS(F77&gt;=90,"Excellent",F77&gt;=70,"Good",F77&gt;=50,"Average",F77&lt;50,"Poor")</f>
        <v>Good</v>
      </c>
      <c r="L77" s="8" t="str">
        <f t="shared" si="2"/>
        <v>Mar</v>
      </c>
      <c r="M77" s="8" t="str">
        <f t="shared" si="3"/>
        <v>Debra Walker</v>
      </c>
      <c r="N77" s="8">
        <f t="shared" si="4"/>
        <v>6</v>
      </c>
      <c r="O77" s="8">
        <f t="shared" si="5"/>
        <v>38</v>
      </c>
      <c r="P77" s="8" t="str">
        <f t="shared" si="6"/>
        <v>December</v>
      </c>
      <c r="Q77" s="8">
        <f t="shared" si="7"/>
        <v>6</v>
      </c>
      <c r="R77" s="8" t="str">
        <f t="shared" si="8"/>
        <v>Eligible</v>
      </c>
      <c r="S77" s="8" t="str">
        <f t="shared" si="9"/>
        <v>False</v>
      </c>
      <c r="T77" s="9">
        <f t="shared" si="10"/>
        <v>3866</v>
      </c>
      <c r="U77" s="10"/>
    </row>
    <row r="78" ht="15.75" customHeight="1">
      <c r="A78" s="4" t="s">
        <v>250</v>
      </c>
      <c r="B78" s="4" t="s">
        <v>103</v>
      </c>
      <c r="C78" s="4" t="s">
        <v>121</v>
      </c>
      <c r="D78" s="4" t="s">
        <v>29</v>
      </c>
      <c r="E78" s="4" t="s">
        <v>30</v>
      </c>
      <c r="F78" s="5">
        <v>93.0</v>
      </c>
      <c r="G78" s="6">
        <v>36731.0</v>
      </c>
      <c r="H78" s="6">
        <v>42683.0</v>
      </c>
      <c r="I78" s="7">
        <v>8983.0</v>
      </c>
      <c r="J78" s="8" t="str">
        <f t="shared" si="1"/>
        <v>Pass</v>
      </c>
      <c r="K78" s="8" t="str">
        <f t="array" ref="K78">IFS(F78&gt;=90,"Excellent",F78&gt;=70,"Good",F78&gt;=50,"Average",F78&lt;50,"Poor")</f>
        <v>Excellent</v>
      </c>
      <c r="L78" s="8" t="str">
        <f t="shared" si="2"/>
        <v>Fin</v>
      </c>
      <c r="M78" s="8" t="str">
        <f t="shared" si="3"/>
        <v>Stephanie Paul</v>
      </c>
      <c r="N78" s="8">
        <f t="shared" si="4"/>
        <v>6</v>
      </c>
      <c r="O78" s="8">
        <f t="shared" si="5"/>
        <v>25</v>
      </c>
      <c r="P78" s="8" t="str">
        <f t="shared" si="6"/>
        <v>November</v>
      </c>
      <c r="Q78" s="8">
        <f t="shared" si="7"/>
        <v>8</v>
      </c>
      <c r="R78" s="8" t="str">
        <f t="shared" si="8"/>
        <v>Not Eligible</v>
      </c>
      <c r="S78" s="8" t="str">
        <f t="shared" si="9"/>
        <v>False</v>
      </c>
      <c r="T78" s="9">
        <f t="shared" si="10"/>
        <v>4491.5</v>
      </c>
      <c r="U78" s="10"/>
    </row>
    <row r="79" ht="15.75" customHeight="1">
      <c r="A79" s="4" t="s">
        <v>251</v>
      </c>
      <c r="B79" s="4" t="s">
        <v>252</v>
      </c>
      <c r="C79" s="4" t="s">
        <v>253</v>
      </c>
      <c r="D79" s="4" t="s">
        <v>46</v>
      </c>
      <c r="E79" s="4" t="s">
        <v>217</v>
      </c>
      <c r="F79" s="5">
        <v>67.0</v>
      </c>
      <c r="G79" s="6">
        <v>35477.0</v>
      </c>
      <c r="H79" s="6">
        <v>44435.0</v>
      </c>
      <c r="I79" s="7">
        <v>9107.0</v>
      </c>
      <c r="J79" s="8" t="str">
        <f t="shared" si="1"/>
        <v>Pass</v>
      </c>
      <c r="K79" s="8" t="str">
        <f t="array" ref="K79">IFS(F79&gt;=90,"Excellent",F79&gt;=70,"Good",F79&gt;=50,"Average",F79&lt;50,"Poor")</f>
        <v>Average</v>
      </c>
      <c r="L79" s="8" t="str">
        <f t="shared" si="2"/>
        <v>Sal</v>
      </c>
      <c r="M79" s="8" t="str">
        <f t="shared" si="3"/>
        <v>Jesse Hartman</v>
      </c>
      <c r="N79" s="8">
        <f t="shared" si="4"/>
        <v>6</v>
      </c>
      <c r="O79" s="8">
        <f t="shared" si="5"/>
        <v>28</v>
      </c>
      <c r="P79" s="8" t="str">
        <f t="shared" si="6"/>
        <v>August</v>
      </c>
      <c r="Q79" s="8">
        <f t="shared" si="7"/>
        <v>4</v>
      </c>
      <c r="R79" s="8" t="str">
        <f t="shared" si="8"/>
        <v>Eligible</v>
      </c>
      <c r="S79" s="8" t="str">
        <f t="shared" si="9"/>
        <v>True</v>
      </c>
      <c r="T79" s="9">
        <f t="shared" si="10"/>
        <v>4553.5</v>
      </c>
      <c r="U79" s="10"/>
    </row>
    <row r="80" ht="15.75" customHeight="1">
      <c r="A80" s="4" t="s">
        <v>254</v>
      </c>
      <c r="B80" s="4" t="s">
        <v>255</v>
      </c>
      <c r="C80" s="4" t="s">
        <v>256</v>
      </c>
      <c r="D80" s="4" t="s">
        <v>24</v>
      </c>
      <c r="E80" s="4" t="s">
        <v>25</v>
      </c>
      <c r="F80" s="5">
        <v>41.0</v>
      </c>
      <c r="G80" s="6">
        <v>36790.0</v>
      </c>
      <c r="H80" s="6">
        <v>43156.0</v>
      </c>
      <c r="I80" s="7">
        <v>9168.0</v>
      </c>
      <c r="J80" s="8" t="str">
        <f t="shared" si="1"/>
        <v>Fail</v>
      </c>
      <c r="K80" s="8" t="str">
        <f t="array" ref="K80">IFS(F80&gt;=90,"Excellent",F80&gt;=70,"Good",F80&gt;=50,"Average",F80&lt;50,"Poor")</f>
        <v>Poor</v>
      </c>
      <c r="L80" s="8" t="str">
        <f t="shared" si="2"/>
        <v>IT</v>
      </c>
      <c r="M80" s="8" t="str">
        <f t="shared" si="3"/>
        <v>Ryan Hopkins</v>
      </c>
      <c r="N80" s="8">
        <f t="shared" si="4"/>
        <v>6</v>
      </c>
      <c r="O80" s="8">
        <f t="shared" si="5"/>
        <v>25</v>
      </c>
      <c r="P80" s="8" t="str">
        <f t="shared" si="6"/>
        <v>February</v>
      </c>
      <c r="Q80" s="8">
        <f t="shared" si="7"/>
        <v>7</v>
      </c>
      <c r="R80" s="8" t="str">
        <f t="shared" si="8"/>
        <v>Not Eligible</v>
      </c>
      <c r="S80" s="8" t="str">
        <f t="shared" si="9"/>
        <v>True</v>
      </c>
      <c r="T80" s="9">
        <f t="shared" si="10"/>
        <v>4584</v>
      </c>
      <c r="U80" s="10"/>
    </row>
    <row r="81" ht="15.75" customHeight="1">
      <c r="A81" s="4" t="s">
        <v>257</v>
      </c>
      <c r="B81" s="4" t="s">
        <v>258</v>
      </c>
      <c r="C81" s="4" t="s">
        <v>124</v>
      </c>
      <c r="D81" s="4" t="s">
        <v>24</v>
      </c>
      <c r="E81" s="4" t="s">
        <v>207</v>
      </c>
      <c r="F81" s="5">
        <v>47.0</v>
      </c>
      <c r="G81" s="6">
        <v>34645.0</v>
      </c>
      <c r="H81" s="6">
        <v>41642.0</v>
      </c>
      <c r="I81" s="7">
        <v>6075.0</v>
      </c>
      <c r="J81" s="8" t="str">
        <f t="shared" si="1"/>
        <v>Fail</v>
      </c>
      <c r="K81" s="8" t="str">
        <f t="array" ref="K81">IFS(F81&gt;=90,"Excellent",F81&gt;=70,"Good",F81&gt;=50,"Average",F81&lt;50,"Poor")</f>
        <v>Poor</v>
      </c>
      <c r="L81" s="8" t="str">
        <f t="shared" si="2"/>
        <v>IT</v>
      </c>
      <c r="M81" s="8" t="str">
        <f t="shared" si="3"/>
        <v>Cassandra Charles</v>
      </c>
      <c r="N81" s="8">
        <f t="shared" si="4"/>
        <v>6</v>
      </c>
      <c r="O81" s="8">
        <f t="shared" si="5"/>
        <v>30</v>
      </c>
      <c r="P81" s="8" t="str">
        <f t="shared" si="6"/>
        <v>January</v>
      </c>
      <c r="Q81" s="8">
        <f t="shared" si="7"/>
        <v>11</v>
      </c>
      <c r="R81" s="8" t="str">
        <f t="shared" si="8"/>
        <v>Eligible</v>
      </c>
      <c r="S81" s="8" t="str">
        <f t="shared" si="9"/>
        <v>True</v>
      </c>
      <c r="T81" s="9">
        <f t="shared" si="10"/>
        <v>3037.5</v>
      </c>
      <c r="U81" s="10"/>
    </row>
    <row r="82" ht="15.75" customHeight="1">
      <c r="A82" s="4" t="s">
        <v>259</v>
      </c>
      <c r="B82" s="4" t="s">
        <v>260</v>
      </c>
      <c r="C82" s="4" t="s">
        <v>261</v>
      </c>
      <c r="D82" s="4" t="s">
        <v>34</v>
      </c>
      <c r="E82" s="4" t="s">
        <v>71</v>
      </c>
      <c r="F82" s="5">
        <v>92.0</v>
      </c>
      <c r="G82" s="6">
        <v>36976.0</v>
      </c>
      <c r="H82" s="6">
        <v>41728.0</v>
      </c>
      <c r="I82" s="7">
        <v>8462.0</v>
      </c>
      <c r="J82" s="8" t="str">
        <f t="shared" si="1"/>
        <v>Pass</v>
      </c>
      <c r="K82" s="8" t="str">
        <f t="array" ref="K82">IFS(F82&gt;=90,"Excellent",F82&gt;=70,"Good",F82&gt;=50,"Average",F82&lt;50,"Poor")</f>
        <v>Excellent</v>
      </c>
      <c r="L82" s="8" t="str">
        <f t="shared" si="2"/>
        <v>HR</v>
      </c>
      <c r="M82" s="8" t="str">
        <f t="shared" si="3"/>
        <v>Brandi Leon</v>
      </c>
      <c r="N82" s="8">
        <f t="shared" si="4"/>
        <v>6</v>
      </c>
      <c r="O82" s="8">
        <f t="shared" si="5"/>
        <v>24</v>
      </c>
      <c r="P82" s="8" t="str">
        <f t="shared" si="6"/>
        <v>March</v>
      </c>
      <c r="Q82" s="8">
        <f t="shared" si="7"/>
        <v>11</v>
      </c>
      <c r="R82" s="8" t="str">
        <f t="shared" si="8"/>
        <v>Not Eligible</v>
      </c>
      <c r="S82" s="8" t="str">
        <f t="shared" si="9"/>
        <v>False</v>
      </c>
      <c r="T82" s="9">
        <f t="shared" si="10"/>
        <v>4231</v>
      </c>
      <c r="U82" s="10"/>
    </row>
    <row r="83" ht="15.75" customHeight="1">
      <c r="A83" s="4" t="s">
        <v>262</v>
      </c>
      <c r="B83" s="4" t="s">
        <v>194</v>
      </c>
      <c r="C83" s="4" t="s">
        <v>263</v>
      </c>
      <c r="D83" s="4" t="s">
        <v>34</v>
      </c>
      <c r="E83" s="4" t="s">
        <v>71</v>
      </c>
      <c r="F83" s="5">
        <v>81.0</v>
      </c>
      <c r="G83" s="6">
        <v>37494.0</v>
      </c>
      <c r="H83" s="6">
        <v>43485.0</v>
      </c>
      <c r="I83" s="7">
        <v>5970.0</v>
      </c>
      <c r="J83" s="8" t="str">
        <f t="shared" si="1"/>
        <v>Pass</v>
      </c>
      <c r="K83" s="8" t="str">
        <f t="array" ref="K83">IFS(F83&gt;=90,"Excellent",F83&gt;=70,"Good",F83&gt;=50,"Average",F83&lt;50,"Poor")</f>
        <v>Good</v>
      </c>
      <c r="L83" s="8" t="str">
        <f t="shared" si="2"/>
        <v>HR</v>
      </c>
      <c r="M83" s="8" t="str">
        <f t="shared" si="3"/>
        <v>Dawn Miller</v>
      </c>
      <c r="N83" s="8">
        <f t="shared" si="4"/>
        <v>6</v>
      </c>
      <c r="O83" s="8">
        <f t="shared" si="5"/>
        <v>23</v>
      </c>
      <c r="P83" s="8" t="str">
        <f t="shared" si="6"/>
        <v>January</v>
      </c>
      <c r="Q83" s="8">
        <f t="shared" si="7"/>
        <v>6</v>
      </c>
      <c r="R83" s="8" t="str">
        <f t="shared" si="8"/>
        <v>Not Eligible</v>
      </c>
      <c r="S83" s="8" t="str">
        <f t="shared" si="9"/>
        <v>False</v>
      </c>
      <c r="T83" s="9">
        <f t="shared" si="10"/>
        <v>2985</v>
      </c>
      <c r="U83" s="10"/>
    </row>
    <row r="84" ht="15.75" customHeight="1">
      <c r="A84" s="4" t="s">
        <v>264</v>
      </c>
      <c r="B84" s="4" t="s">
        <v>163</v>
      </c>
      <c r="C84" s="4" t="s">
        <v>265</v>
      </c>
      <c r="D84" s="4" t="s">
        <v>46</v>
      </c>
      <c r="E84" s="4" t="s">
        <v>47</v>
      </c>
      <c r="F84" s="5">
        <v>58.0</v>
      </c>
      <c r="G84" s="6">
        <v>33859.0</v>
      </c>
      <c r="H84" s="6">
        <v>42737.0</v>
      </c>
      <c r="I84" s="7">
        <v>8870.0</v>
      </c>
      <c r="J84" s="8" t="str">
        <f t="shared" si="1"/>
        <v>Pass</v>
      </c>
      <c r="K84" s="8" t="str">
        <f t="array" ref="K84">IFS(F84&gt;=90,"Excellent",F84&gt;=70,"Good",F84&gt;=50,"Average",F84&lt;50,"Poor")</f>
        <v>Average</v>
      </c>
      <c r="L84" s="8" t="str">
        <f t="shared" si="2"/>
        <v>Sal</v>
      </c>
      <c r="M84" s="8" t="str">
        <f t="shared" si="3"/>
        <v>Christopher Fields</v>
      </c>
      <c r="N84" s="8">
        <f t="shared" si="4"/>
        <v>6</v>
      </c>
      <c r="O84" s="8">
        <f t="shared" si="5"/>
        <v>33</v>
      </c>
      <c r="P84" s="8" t="str">
        <f t="shared" si="6"/>
        <v>January</v>
      </c>
      <c r="Q84" s="8">
        <f t="shared" si="7"/>
        <v>8</v>
      </c>
      <c r="R84" s="8" t="str">
        <f t="shared" si="8"/>
        <v>Eligible</v>
      </c>
      <c r="S84" s="8" t="str">
        <f t="shared" si="9"/>
        <v>True</v>
      </c>
      <c r="T84" s="9">
        <f t="shared" si="10"/>
        <v>4435</v>
      </c>
      <c r="U84" s="10"/>
    </row>
    <row r="85" ht="15.75" customHeight="1">
      <c r="A85" s="4" t="s">
        <v>266</v>
      </c>
      <c r="B85" s="4" t="s">
        <v>267</v>
      </c>
      <c r="C85" s="4" t="s">
        <v>268</v>
      </c>
      <c r="D85" s="4" t="s">
        <v>29</v>
      </c>
      <c r="E85" s="4" t="s">
        <v>30</v>
      </c>
      <c r="F85" s="5">
        <v>61.0</v>
      </c>
      <c r="G85" s="6">
        <v>32920.0</v>
      </c>
      <c r="H85" s="6">
        <v>42702.0</v>
      </c>
      <c r="I85" s="7">
        <v>7909.0</v>
      </c>
      <c r="J85" s="8" t="str">
        <f t="shared" si="1"/>
        <v>Pass</v>
      </c>
      <c r="K85" s="8" t="str">
        <f t="array" ref="K85">IFS(F85&gt;=90,"Excellent",F85&gt;=70,"Good",F85&gt;=50,"Average",F85&lt;50,"Poor")</f>
        <v>Average</v>
      </c>
      <c r="L85" s="8" t="str">
        <f t="shared" si="2"/>
        <v>Fin</v>
      </c>
      <c r="M85" s="8" t="str">
        <f t="shared" si="3"/>
        <v>Kristina Grant</v>
      </c>
      <c r="N85" s="8">
        <f t="shared" si="4"/>
        <v>6</v>
      </c>
      <c r="O85" s="8">
        <f t="shared" si="5"/>
        <v>35</v>
      </c>
      <c r="P85" s="8" t="str">
        <f t="shared" si="6"/>
        <v>November</v>
      </c>
      <c r="Q85" s="8">
        <f t="shared" si="7"/>
        <v>8</v>
      </c>
      <c r="R85" s="8" t="str">
        <f t="shared" si="8"/>
        <v>Eligible</v>
      </c>
      <c r="S85" s="8" t="str">
        <f t="shared" si="9"/>
        <v>False</v>
      </c>
      <c r="T85" s="9">
        <f t="shared" si="10"/>
        <v>3954.5</v>
      </c>
      <c r="U85" s="10"/>
    </row>
    <row r="86" ht="15.75" customHeight="1">
      <c r="A86" s="4" t="s">
        <v>269</v>
      </c>
      <c r="B86" s="4" t="s">
        <v>270</v>
      </c>
      <c r="C86" s="4" t="s">
        <v>271</v>
      </c>
      <c r="D86" s="4" t="s">
        <v>46</v>
      </c>
      <c r="E86" s="4" t="s">
        <v>53</v>
      </c>
      <c r="F86" s="5">
        <v>58.0</v>
      </c>
      <c r="G86" s="6">
        <v>34714.0</v>
      </c>
      <c r="H86" s="6">
        <v>43998.0</v>
      </c>
      <c r="I86" s="7">
        <v>7789.0</v>
      </c>
      <c r="J86" s="8" t="str">
        <f t="shared" si="1"/>
        <v>Pass</v>
      </c>
      <c r="K86" s="8" t="str">
        <f t="array" ref="K86">IFS(F86&gt;=90,"Excellent",F86&gt;=70,"Good",F86&gt;=50,"Average",F86&lt;50,"Poor")</f>
        <v>Average</v>
      </c>
      <c r="L86" s="8" t="str">
        <f t="shared" si="2"/>
        <v>Sal</v>
      </c>
      <c r="M86" s="8" t="str">
        <f t="shared" si="3"/>
        <v>Eric Lopez</v>
      </c>
      <c r="N86" s="8">
        <f t="shared" si="4"/>
        <v>6</v>
      </c>
      <c r="O86" s="8">
        <f t="shared" si="5"/>
        <v>30</v>
      </c>
      <c r="P86" s="8" t="str">
        <f t="shared" si="6"/>
        <v>June</v>
      </c>
      <c r="Q86" s="8">
        <f t="shared" si="7"/>
        <v>5</v>
      </c>
      <c r="R86" s="8" t="str">
        <f t="shared" si="8"/>
        <v>Eligible</v>
      </c>
      <c r="S86" s="8" t="str">
        <f t="shared" si="9"/>
        <v>True</v>
      </c>
      <c r="T86" s="9">
        <f t="shared" si="10"/>
        <v>3894.5</v>
      </c>
      <c r="U86" s="10"/>
    </row>
    <row r="87" ht="15.75" customHeight="1">
      <c r="A87" s="4" t="s">
        <v>272</v>
      </c>
      <c r="B87" s="4" t="s">
        <v>273</v>
      </c>
      <c r="C87" s="4" t="s">
        <v>136</v>
      </c>
      <c r="D87" s="4" t="s">
        <v>24</v>
      </c>
      <c r="E87" s="4" t="s">
        <v>207</v>
      </c>
      <c r="F87" s="5">
        <v>61.0</v>
      </c>
      <c r="G87" s="6">
        <v>31348.0</v>
      </c>
      <c r="H87" s="6">
        <v>42195.0</v>
      </c>
      <c r="I87" s="7">
        <v>7775.0</v>
      </c>
      <c r="J87" s="8" t="str">
        <f t="shared" si="1"/>
        <v>Pass</v>
      </c>
      <c r="K87" s="8" t="str">
        <f t="array" ref="K87">IFS(F87&gt;=90,"Excellent",F87&gt;=70,"Good",F87&gt;=50,"Average",F87&lt;50,"Poor")</f>
        <v>Average</v>
      </c>
      <c r="L87" s="8" t="str">
        <f t="shared" si="2"/>
        <v>IT</v>
      </c>
      <c r="M87" s="8" t="str">
        <f t="shared" si="3"/>
        <v>Brent Johnson</v>
      </c>
      <c r="N87" s="8">
        <f t="shared" si="4"/>
        <v>6</v>
      </c>
      <c r="O87" s="8">
        <f t="shared" si="5"/>
        <v>40</v>
      </c>
      <c r="P87" s="8" t="str">
        <f t="shared" si="6"/>
        <v>July</v>
      </c>
      <c r="Q87" s="8">
        <f t="shared" si="7"/>
        <v>10</v>
      </c>
      <c r="R87" s="8" t="str">
        <f t="shared" si="8"/>
        <v>Eligible</v>
      </c>
      <c r="S87" s="8" t="str">
        <f t="shared" si="9"/>
        <v>True</v>
      </c>
      <c r="T87" s="9">
        <f t="shared" si="10"/>
        <v>3887.5</v>
      </c>
      <c r="U87" s="10"/>
    </row>
    <row r="88" ht="15.75" customHeight="1">
      <c r="A88" s="4" t="s">
        <v>274</v>
      </c>
      <c r="B88" s="4" t="s">
        <v>275</v>
      </c>
      <c r="C88" s="4" t="s">
        <v>246</v>
      </c>
      <c r="D88" s="4" t="s">
        <v>46</v>
      </c>
      <c r="E88" s="4" t="s">
        <v>47</v>
      </c>
      <c r="F88" s="5">
        <v>59.0</v>
      </c>
      <c r="G88" s="6">
        <v>33008.0</v>
      </c>
      <c r="H88" s="6">
        <v>42101.0</v>
      </c>
      <c r="I88" s="7">
        <v>4168.0</v>
      </c>
      <c r="J88" s="8" t="str">
        <f t="shared" si="1"/>
        <v>Pass</v>
      </c>
      <c r="K88" s="8" t="str">
        <f t="array" ref="K88">IFS(F88&gt;=90,"Excellent",F88&gt;=70,"Good",F88&gt;=50,"Average",F88&lt;50,"Poor")</f>
        <v>Average</v>
      </c>
      <c r="L88" s="8" t="str">
        <f t="shared" si="2"/>
        <v>Sal</v>
      </c>
      <c r="M88" s="8" t="str">
        <f t="shared" si="3"/>
        <v>Andrew Richards</v>
      </c>
      <c r="N88" s="8">
        <f t="shared" si="4"/>
        <v>6</v>
      </c>
      <c r="O88" s="8">
        <f t="shared" si="5"/>
        <v>35</v>
      </c>
      <c r="P88" s="8" t="str">
        <f t="shared" si="6"/>
        <v>April</v>
      </c>
      <c r="Q88" s="8">
        <f t="shared" si="7"/>
        <v>10</v>
      </c>
      <c r="R88" s="8" t="str">
        <f t="shared" si="8"/>
        <v>Eligible</v>
      </c>
      <c r="S88" s="8" t="str">
        <f t="shared" si="9"/>
        <v>True</v>
      </c>
      <c r="T88" s="9">
        <f t="shared" si="10"/>
        <v>2084</v>
      </c>
      <c r="U88" s="10"/>
    </row>
    <row r="89" ht="15.75" customHeight="1">
      <c r="A89" s="4" t="s">
        <v>276</v>
      </c>
      <c r="B89" s="4" t="s">
        <v>61</v>
      </c>
      <c r="C89" s="4" t="s">
        <v>277</v>
      </c>
      <c r="D89" s="4" t="s">
        <v>29</v>
      </c>
      <c r="E89" s="4" t="s">
        <v>39</v>
      </c>
      <c r="F89" s="5">
        <v>57.0</v>
      </c>
      <c r="G89" s="6">
        <v>33477.0</v>
      </c>
      <c r="H89" s="6">
        <v>45142.0</v>
      </c>
      <c r="I89" s="7">
        <v>5542.0</v>
      </c>
      <c r="J89" s="8" t="str">
        <f t="shared" si="1"/>
        <v>Pass</v>
      </c>
      <c r="K89" s="8" t="str">
        <f t="array" ref="K89">IFS(F89&gt;=90,"Excellent",F89&gt;=70,"Good",F89&gt;=50,"Average",F89&lt;50,"Poor")</f>
        <v>Average</v>
      </c>
      <c r="L89" s="8" t="str">
        <f t="shared" si="2"/>
        <v>Fin</v>
      </c>
      <c r="M89" s="8" t="str">
        <f t="shared" si="3"/>
        <v>John Levy</v>
      </c>
      <c r="N89" s="8">
        <f t="shared" si="4"/>
        <v>6</v>
      </c>
      <c r="O89" s="8">
        <f t="shared" si="5"/>
        <v>34</v>
      </c>
      <c r="P89" s="8" t="str">
        <f t="shared" si="6"/>
        <v>August</v>
      </c>
      <c r="Q89" s="8">
        <f t="shared" si="7"/>
        <v>2</v>
      </c>
      <c r="R89" s="8" t="str">
        <f t="shared" si="8"/>
        <v>Not Eligible</v>
      </c>
      <c r="S89" s="8" t="str">
        <f t="shared" si="9"/>
        <v>False</v>
      </c>
      <c r="T89" s="9">
        <f t="shared" si="10"/>
        <v>2771</v>
      </c>
      <c r="U89" s="10"/>
    </row>
    <row r="90" ht="15.75" customHeight="1">
      <c r="A90" s="4" t="s">
        <v>278</v>
      </c>
      <c r="B90" s="4" t="s">
        <v>279</v>
      </c>
      <c r="C90" s="4" t="s">
        <v>280</v>
      </c>
      <c r="D90" s="4" t="s">
        <v>29</v>
      </c>
      <c r="E90" s="4" t="s">
        <v>30</v>
      </c>
      <c r="F90" s="5">
        <v>57.0</v>
      </c>
      <c r="G90" s="6">
        <v>37994.0</v>
      </c>
      <c r="H90" s="6">
        <v>44807.0</v>
      </c>
      <c r="I90" s="7">
        <v>3044.0</v>
      </c>
      <c r="J90" s="8" t="str">
        <f t="shared" si="1"/>
        <v>Pass</v>
      </c>
      <c r="K90" s="8" t="str">
        <f t="array" ref="K90">IFS(F90&gt;=90,"Excellent",F90&gt;=70,"Good",F90&gt;=50,"Average",F90&lt;50,"Poor")</f>
        <v>Average</v>
      </c>
      <c r="L90" s="8" t="str">
        <f t="shared" si="2"/>
        <v>Fin</v>
      </c>
      <c r="M90" s="8" t="str">
        <f t="shared" si="3"/>
        <v>Ethan Sutton</v>
      </c>
      <c r="N90" s="8">
        <f t="shared" si="4"/>
        <v>6</v>
      </c>
      <c r="O90" s="8">
        <f t="shared" si="5"/>
        <v>21</v>
      </c>
      <c r="P90" s="8" t="str">
        <f t="shared" si="6"/>
        <v>September</v>
      </c>
      <c r="Q90" s="8">
        <f t="shared" si="7"/>
        <v>3</v>
      </c>
      <c r="R90" s="8" t="str">
        <f t="shared" si="8"/>
        <v>Not Eligible</v>
      </c>
      <c r="S90" s="8" t="str">
        <f t="shared" si="9"/>
        <v>False</v>
      </c>
      <c r="T90" s="9">
        <f t="shared" si="10"/>
        <v>1522</v>
      </c>
      <c r="U90" s="10"/>
    </row>
    <row r="91" ht="15.75" customHeight="1">
      <c r="A91" s="4" t="s">
        <v>281</v>
      </c>
      <c r="B91" s="4" t="s">
        <v>282</v>
      </c>
      <c r="C91" s="4" t="s">
        <v>223</v>
      </c>
      <c r="D91" s="4" t="s">
        <v>24</v>
      </c>
      <c r="E91" s="4" t="s">
        <v>207</v>
      </c>
      <c r="F91" s="5">
        <v>95.0</v>
      </c>
      <c r="G91" s="6">
        <v>34619.0</v>
      </c>
      <c r="H91" s="6">
        <v>42248.0</v>
      </c>
      <c r="I91" s="7">
        <v>8611.0</v>
      </c>
      <c r="J91" s="8" t="str">
        <f t="shared" si="1"/>
        <v>Pass</v>
      </c>
      <c r="K91" s="8" t="str">
        <f t="array" ref="K91">IFS(F91&gt;=90,"Excellent",F91&gt;=70,"Good",F91&gt;=50,"Average",F91&lt;50,"Poor")</f>
        <v>Excellent</v>
      </c>
      <c r="L91" s="8" t="str">
        <f t="shared" si="2"/>
        <v>IT</v>
      </c>
      <c r="M91" s="8" t="str">
        <f t="shared" si="3"/>
        <v>Karen Allen</v>
      </c>
      <c r="N91" s="8">
        <f t="shared" si="4"/>
        <v>6</v>
      </c>
      <c r="O91" s="8">
        <f t="shared" si="5"/>
        <v>31</v>
      </c>
      <c r="P91" s="8" t="str">
        <f t="shared" si="6"/>
        <v>September</v>
      </c>
      <c r="Q91" s="8">
        <f t="shared" si="7"/>
        <v>10</v>
      </c>
      <c r="R91" s="8" t="str">
        <f t="shared" si="8"/>
        <v>Eligible</v>
      </c>
      <c r="S91" s="8" t="str">
        <f t="shared" si="9"/>
        <v>True</v>
      </c>
      <c r="T91" s="9">
        <f t="shared" si="10"/>
        <v>4305.5</v>
      </c>
      <c r="U91" s="10"/>
    </row>
    <row r="92" ht="15.75" customHeight="1">
      <c r="A92" s="4" t="s">
        <v>283</v>
      </c>
      <c r="B92" s="4" t="s">
        <v>284</v>
      </c>
      <c r="C92" s="4" t="s">
        <v>285</v>
      </c>
      <c r="D92" s="4" t="s">
        <v>46</v>
      </c>
      <c r="E92" s="4" t="s">
        <v>47</v>
      </c>
      <c r="F92" s="5">
        <v>51.0</v>
      </c>
      <c r="G92" s="6">
        <v>32949.0</v>
      </c>
      <c r="H92" s="6">
        <v>44397.0</v>
      </c>
      <c r="I92" s="7">
        <v>8019.0</v>
      </c>
      <c r="J92" s="8" t="str">
        <f t="shared" si="1"/>
        <v>Pass</v>
      </c>
      <c r="K92" s="8" t="str">
        <f t="array" ref="K92">IFS(F92&gt;=90,"Excellent",F92&gt;=70,"Good",F92&gt;=50,"Average",F92&lt;50,"Poor")</f>
        <v>Average</v>
      </c>
      <c r="L92" s="8" t="str">
        <f t="shared" si="2"/>
        <v>Sal</v>
      </c>
      <c r="M92" s="8" t="str">
        <f t="shared" si="3"/>
        <v>Rodney Gonzales</v>
      </c>
      <c r="N92" s="8">
        <f t="shared" si="4"/>
        <v>6</v>
      </c>
      <c r="O92" s="8">
        <f t="shared" si="5"/>
        <v>35</v>
      </c>
      <c r="P92" s="8" t="str">
        <f t="shared" si="6"/>
        <v>July</v>
      </c>
      <c r="Q92" s="8">
        <f t="shared" si="7"/>
        <v>4</v>
      </c>
      <c r="R92" s="8" t="str">
        <f t="shared" si="8"/>
        <v>Eligible</v>
      </c>
      <c r="S92" s="8" t="str">
        <f t="shared" si="9"/>
        <v>True</v>
      </c>
      <c r="T92" s="9">
        <f t="shared" si="10"/>
        <v>4009.5</v>
      </c>
      <c r="U92" s="10"/>
    </row>
    <row r="93" ht="15.75" customHeight="1">
      <c r="A93" s="4" t="s">
        <v>286</v>
      </c>
      <c r="B93" s="4" t="s">
        <v>287</v>
      </c>
      <c r="C93" s="4" t="s">
        <v>235</v>
      </c>
      <c r="D93" s="4" t="s">
        <v>46</v>
      </c>
      <c r="E93" s="4" t="s">
        <v>53</v>
      </c>
      <c r="F93" s="5">
        <v>34.0</v>
      </c>
      <c r="G93" s="6">
        <v>37368.0</v>
      </c>
      <c r="H93" s="6">
        <v>45016.0</v>
      </c>
      <c r="I93" s="7">
        <v>4142.0</v>
      </c>
      <c r="J93" s="8" t="str">
        <f t="shared" si="1"/>
        <v>Fail</v>
      </c>
      <c r="K93" s="8" t="str">
        <f t="array" ref="K93">IFS(F93&gt;=90,"Excellent",F93&gt;=70,"Good",F93&gt;=50,"Average",F93&lt;50,"Poor")</f>
        <v>Poor</v>
      </c>
      <c r="L93" s="8" t="str">
        <f t="shared" si="2"/>
        <v>Sal</v>
      </c>
      <c r="M93" s="8" t="str">
        <f t="shared" si="3"/>
        <v>Lindsey Jones</v>
      </c>
      <c r="N93" s="8">
        <f t="shared" si="4"/>
        <v>6</v>
      </c>
      <c r="O93" s="8">
        <f t="shared" si="5"/>
        <v>23</v>
      </c>
      <c r="P93" s="8" t="str">
        <f t="shared" si="6"/>
        <v>March</v>
      </c>
      <c r="Q93" s="8">
        <f t="shared" si="7"/>
        <v>2</v>
      </c>
      <c r="R93" s="8" t="str">
        <f t="shared" si="8"/>
        <v>Not Eligible</v>
      </c>
      <c r="S93" s="8" t="str">
        <f t="shared" si="9"/>
        <v>True</v>
      </c>
      <c r="T93" s="9">
        <f t="shared" si="10"/>
        <v>2071</v>
      </c>
      <c r="U93" s="10"/>
    </row>
    <row r="94" ht="15.75" customHeight="1">
      <c r="A94" s="4" t="s">
        <v>288</v>
      </c>
      <c r="B94" s="4" t="s">
        <v>289</v>
      </c>
      <c r="C94" s="4" t="s">
        <v>189</v>
      </c>
      <c r="D94" s="4" t="s">
        <v>29</v>
      </c>
      <c r="E94" s="4" t="s">
        <v>30</v>
      </c>
      <c r="F94" s="5">
        <v>92.0</v>
      </c>
      <c r="G94" s="6">
        <v>38022.0</v>
      </c>
      <c r="H94" s="6">
        <v>44127.0</v>
      </c>
      <c r="I94" s="7">
        <v>8008.0</v>
      </c>
      <c r="J94" s="8" t="str">
        <f t="shared" si="1"/>
        <v>Pass</v>
      </c>
      <c r="K94" s="8" t="str">
        <f t="array" ref="K94">IFS(F94&gt;=90,"Excellent",F94&gt;=70,"Good",F94&gt;=50,"Average",F94&lt;50,"Poor")</f>
        <v>Excellent</v>
      </c>
      <c r="L94" s="8" t="str">
        <f t="shared" si="2"/>
        <v>Fin</v>
      </c>
      <c r="M94" s="8" t="str">
        <f t="shared" si="3"/>
        <v>Troy Morris</v>
      </c>
      <c r="N94" s="8">
        <f t="shared" si="4"/>
        <v>6</v>
      </c>
      <c r="O94" s="8">
        <f t="shared" si="5"/>
        <v>21</v>
      </c>
      <c r="P94" s="8" t="str">
        <f t="shared" si="6"/>
        <v>October</v>
      </c>
      <c r="Q94" s="8">
        <f t="shared" si="7"/>
        <v>5</v>
      </c>
      <c r="R94" s="8" t="str">
        <f t="shared" si="8"/>
        <v>Not Eligible</v>
      </c>
      <c r="S94" s="8" t="str">
        <f t="shared" si="9"/>
        <v>False</v>
      </c>
      <c r="T94" s="9">
        <f t="shared" si="10"/>
        <v>4004</v>
      </c>
      <c r="U94" s="10"/>
    </row>
    <row r="95" ht="15.75" customHeight="1">
      <c r="A95" s="4" t="s">
        <v>290</v>
      </c>
      <c r="B95" s="4" t="s">
        <v>101</v>
      </c>
      <c r="C95" s="4" t="s">
        <v>153</v>
      </c>
      <c r="D95" s="4" t="s">
        <v>29</v>
      </c>
      <c r="E95" s="4" t="s">
        <v>39</v>
      </c>
      <c r="F95" s="5">
        <v>92.0</v>
      </c>
      <c r="G95" s="6">
        <v>35375.0</v>
      </c>
      <c r="H95" s="6">
        <v>45800.0</v>
      </c>
      <c r="I95" s="7">
        <v>5067.0</v>
      </c>
      <c r="J95" s="8" t="str">
        <f t="shared" si="1"/>
        <v>Pass</v>
      </c>
      <c r="K95" s="8" t="str">
        <f t="array" ref="K95">IFS(F95&gt;=90,"Excellent",F95&gt;=70,"Good",F95&gt;=50,"Average",F95&lt;50,"Poor")</f>
        <v>Excellent</v>
      </c>
      <c r="L95" s="8" t="str">
        <f t="shared" si="2"/>
        <v>Fin</v>
      </c>
      <c r="M95" s="8" t="str">
        <f t="shared" si="3"/>
        <v>Robin Young</v>
      </c>
      <c r="N95" s="8">
        <f t="shared" si="4"/>
        <v>6</v>
      </c>
      <c r="O95" s="8">
        <f t="shared" si="5"/>
        <v>28</v>
      </c>
      <c r="P95" s="8" t="str">
        <f t="shared" si="6"/>
        <v>May</v>
      </c>
      <c r="Q95" s="8">
        <f t="shared" si="7"/>
        <v>0</v>
      </c>
      <c r="R95" s="8" t="str">
        <f t="shared" si="8"/>
        <v>Not Eligible</v>
      </c>
      <c r="S95" s="8" t="str">
        <f t="shared" si="9"/>
        <v>False</v>
      </c>
      <c r="T95" s="9">
        <f t="shared" si="10"/>
        <v>2533.5</v>
      </c>
      <c r="U95" s="10"/>
    </row>
    <row r="96" ht="15.75" customHeight="1">
      <c r="A96" s="4" t="s">
        <v>291</v>
      </c>
      <c r="B96" s="4" t="s">
        <v>215</v>
      </c>
      <c r="C96" s="4" t="s">
        <v>292</v>
      </c>
      <c r="D96" s="4" t="s">
        <v>34</v>
      </c>
      <c r="E96" s="4" t="s">
        <v>35</v>
      </c>
      <c r="F96" s="5">
        <v>59.0</v>
      </c>
      <c r="G96" s="6">
        <v>34493.0</v>
      </c>
      <c r="H96" s="6">
        <v>43439.0</v>
      </c>
      <c r="I96" s="7">
        <v>5334.0</v>
      </c>
      <c r="J96" s="8" t="str">
        <f t="shared" si="1"/>
        <v>Pass</v>
      </c>
      <c r="K96" s="8" t="str">
        <f t="array" ref="K96">IFS(F96&gt;=90,"Excellent",F96&gt;=70,"Good",F96&gt;=50,"Average",F96&lt;50,"Poor")</f>
        <v>Average</v>
      </c>
      <c r="L96" s="8" t="str">
        <f t="shared" si="2"/>
        <v>HR</v>
      </c>
      <c r="M96" s="8" t="str">
        <f t="shared" si="3"/>
        <v>Jennifer Patel</v>
      </c>
      <c r="N96" s="8">
        <f t="shared" si="4"/>
        <v>6</v>
      </c>
      <c r="O96" s="8">
        <f t="shared" si="5"/>
        <v>31</v>
      </c>
      <c r="P96" s="8" t="str">
        <f t="shared" si="6"/>
        <v>December</v>
      </c>
      <c r="Q96" s="8">
        <f t="shared" si="7"/>
        <v>6</v>
      </c>
      <c r="R96" s="8" t="str">
        <f t="shared" si="8"/>
        <v>Eligible</v>
      </c>
      <c r="S96" s="8" t="str">
        <f t="shared" si="9"/>
        <v>False</v>
      </c>
      <c r="T96" s="9">
        <f t="shared" si="10"/>
        <v>2667</v>
      </c>
      <c r="U96" s="10"/>
    </row>
    <row r="97" ht="15.75" customHeight="1">
      <c r="A97" s="4" t="s">
        <v>293</v>
      </c>
      <c r="B97" s="4" t="s">
        <v>294</v>
      </c>
      <c r="C97" s="4" t="s">
        <v>295</v>
      </c>
      <c r="D97" s="4" t="s">
        <v>24</v>
      </c>
      <c r="E97" s="4" t="s">
        <v>89</v>
      </c>
      <c r="F97" s="5">
        <v>89.0</v>
      </c>
      <c r="G97" s="6">
        <v>38171.0</v>
      </c>
      <c r="H97" s="6">
        <v>44083.0</v>
      </c>
      <c r="I97" s="7">
        <v>6985.0</v>
      </c>
      <c r="J97" s="8" t="str">
        <f t="shared" si="1"/>
        <v>Pass</v>
      </c>
      <c r="K97" s="8" t="str">
        <f t="array" ref="K97">IFS(F97&gt;=90,"Excellent",F97&gt;=70,"Good",F97&gt;=50,"Average",F97&lt;50,"Poor")</f>
        <v>Good</v>
      </c>
      <c r="L97" s="8" t="str">
        <f t="shared" si="2"/>
        <v>IT</v>
      </c>
      <c r="M97" s="8" t="str">
        <f t="shared" si="3"/>
        <v>Morgan Wilcox</v>
      </c>
      <c r="N97" s="8">
        <f t="shared" si="4"/>
        <v>6</v>
      </c>
      <c r="O97" s="8">
        <f t="shared" si="5"/>
        <v>21</v>
      </c>
      <c r="P97" s="8" t="str">
        <f t="shared" si="6"/>
        <v>September</v>
      </c>
      <c r="Q97" s="8">
        <f t="shared" si="7"/>
        <v>5</v>
      </c>
      <c r="R97" s="8" t="str">
        <f t="shared" si="8"/>
        <v>Not Eligible</v>
      </c>
      <c r="S97" s="8" t="str">
        <f t="shared" si="9"/>
        <v>True</v>
      </c>
      <c r="T97" s="9">
        <f t="shared" si="10"/>
        <v>3492.5</v>
      </c>
      <c r="U97" s="10"/>
    </row>
    <row r="98" ht="15.75" customHeight="1">
      <c r="A98" s="4" t="s">
        <v>296</v>
      </c>
      <c r="B98" s="4" t="s">
        <v>297</v>
      </c>
      <c r="C98" s="4" t="s">
        <v>298</v>
      </c>
      <c r="D98" s="4" t="s">
        <v>46</v>
      </c>
      <c r="E98" s="4" t="s">
        <v>53</v>
      </c>
      <c r="F98" s="5">
        <v>82.0</v>
      </c>
      <c r="G98" s="6">
        <v>37419.0</v>
      </c>
      <c r="H98" s="6">
        <v>44019.0</v>
      </c>
      <c r="I98" s="7">
        <v>5806.0</v>
      </c>
      <c r="J98" s="8" t="str">
        <f t="shared" si="1"/>
        <v>Pass</v>
      </c>
      <c r="K98" s="8" t="str">
        <f t="array" ref="K98">IFS(F98&gt;=90,"Excellent",F98&gt;=70,"Good",F98&gt;=50,"Average",F98&lt;50,"Poor")</f>
        <v>Good</v>
      </c>
      <c r="L98" s="8" t="str">
        <f t="shared" si="2"/>
        <v>Sal</v>
      </c>
      <c r="M98" s="8" t="str">
        <f t="shared" si="3"/>
        <v>Cory Marquez</v>
      </c>
      <c r="N98" s="8">
        <f t="shared" si="4"/>
        <v>6</v>
      </c>
      <c r="O98" s="8">
        <f t="shared" si="5"/>
        <v>23</v>
      </c>
      <c r="P98" s="8" t="str">
        <f t="shared" si="6"/>
        <v>July</v>
      </c>
      <c r="Q98" s="8">
        <f t="shared" si="7"/>
        <v>5</v>
      </c>
      <c r="R98" s="8" t="str">
        <f t="shared" si="8"/>
        <v>Not Eligible</v>
      </c>
      <c r="S98" s="8" t="str">
        <f t="shared" si="9"/>
        <v>True</v>
      </c>
      <c r="T98" s="9">
        <f t="shared" si="10"/>
        <v>2903</v>
      </c>
      <c r="U98" s="10"/>
    </row>
    <row r="99" ht="15.75" customHeight="1">
      <c r="A99" s="4" t="s">
        <v>299</v>
      </c>
      <c r="B99" s="4" t="s">
        <v>300</v>
      </c>
      <c r="C99" s="4" t="s">
        <v>210</v>
      </c>
      <c r="D99" s="4" t="s">
        <v>24</v>
      </c>
      <c r="E99" s="4" t="s">
        <v>25</v>
      </c>
      <c r="F99" s="5">
        <v>83.0</v>
      </c>
      <c r="G99" s="6">
        <v>31697.0</v>
      </c>
      <c r="H99" s="6">
        <v>45642.0</v>
      </c>
      <c r="I99" s="7">
        <v>8549.0</v>
      </c>
      <c r="J99" s="8" t="str">
        <f t="shared" si="1"/>
        <v>Pass</v>
      </c>
      <c r="K99" s="8" t="str">
        <f t="array" ref="K99">IFS(F99&gt;=90,"Excellent",F99&gt;=70,"Good",F99&gt;=50,"Average",F99&lt;50,"Poor")</f>
        <v>Good</v>
      </c>
      <c r="L99" s="8" t="str">
        <f t="shared" si="2"/>
        <v>IT</v>
      </c>
      <c r="M99" s="8" t="str">
        <f t="shared" si="3"/>
        <v>Shelly Moore</v>
      </c>
      <c r="N99" s="8">
        <f t="shared" si="4"/>
        <v>6</v>
      </c>
      <c r="O99" s="8">
        <f t="shared" si="5"/>
        <v>39</v>
      </c>
      <c r="P99" s="8" t="str">
        <f t="shared" si="6"/>
        <v>December</v>
      </c>
      <c r="Q99" s="8">
        <f t="shared" si="7"/>
        <v>0</v>
      </c>
      <c r="R99" s="8" t="str">
        <f t="shared" si="8"/>
        <v>Not Eligible</v>
      </c>
      <c r="S99" s="8" t="str">
        <f t="shared" si="9"/>
        <v>True</v>
      </c>
      <c r="T99" s="9">
        <f t="shared" si="10"/>
        <v>4274.5</v>
      </c>
      <c r="U99" s="10"/>
    </row>
    <row r="100" ht="15.75" customHeight="1">
      <c r="A100" s="4" t="s">
        <v>301</v>
      </c>
      <c r="B100" s="4" t="s">
        <v>302</v>
      </c>
      <c r="C100" s="4" t="s">
        <v>142</v>
      </c>
      <c r="D100" s="4" t="s">
        <v>24</v>
      </c>
      <c r="E100" s="4" t="s">
        <v>25</v>
      </c>
      <c r="F100" s="5">
        <v>48.0</v>
      </c>
      <c r="G100" s="6">
        <v>37916.0</v>
      </c>
      <c r="H100" s="6">
        <v>42587.0</v>
      </c>
      <c r="I100" s="7">
        <v>5763.0</v>
      </c>
      <c r="J100" s="8" t="str">
        <f t="shared" si="1"/>
        <v>Fail</v>
      </c>
      <c r="K100" s="8" t="str">
        <f t="array" ref="K100">IFS(F100&gt;=90,"Excellent",F100&gt;=70,"Good",F100&gt;=50,"Average",F100&lt;50,"Poor")</f>
        <v>Poor</v>
      </c>
      <c r="L100" s="8" t="str">
        <f t="shared" si="2"/>
        <v>IT</v>
      </c>
      <c r="M100" s="8" t="str">
        <f t="shared" si="3"/>
        <v>Roger Stewart</v>
      </c>
      <c r="N100" s="8">
        <f t="shared" si="4"/>
        <v>6</v>
      </c>
      <c r="O100" s="8">
        <f t="shared" si="5"/>
        <v>22</v>
      </c>
      <c r="P100" s="8" t="str">
        <f t="shared" si="6"/>
        <v>August</v>
      </c>
      <c r="Q100" s="8">
        <f t="shared" si="7"/>
        <v>9</v>
      </c>
      <c r="R100" s="8" t="str">
        <f t="shared" si="8"/>
        <v>Not Eligible</v>
      </c>
      <c r="S100" s="8" t="str">
        <f t="shared" si="9"/>
        <v>True</v>
      </c>
      <c r="T100" s="9">
        <f t="shared" si="10"/>
        <v>2881.5</v>
      </c>
      <c r="U100" s="10"/>
    </row>
    <row r="101" ht="15.75" customHeight="1">
      <c r="A101" s="4" t="s">
        <v>303</v>
      </c>
      <c r="B101" s="4" t="s">
        <v>304</v>
      </c>
      <c r="C101" s="4" t="s">
        <v>305</v>
      </c>
      <c r="D101" s="4" t="s">
        <v>75</v>
      </c>
      <c r="E101" s="4" t="s">
        <v>85</v>
      </c>
      <c r="F101" s="5">
        <v>76.0</v>
      </c>
      <c r="G101" s="6">
        <v>31425.0</v>
      </c>
      <c r="H101" s="6">
        <v>45888.0</v>
      </c>
      <c r="I101" s="7">
        <v>5822.0</v>
      </c>
      <c r="J101" s="8" t="str">
        <f t="shared" si="1"/>
        <v>Pass</v>
      </c>
      <c r="K101" s="8" t="str">
        <f t="array" ref="K101">IFS(F101&gt;=90,"Excellent",F101&gt;=70,"Good",F101&gt;=50,"Average",F101&lt;50,"Poor")</f>
        <v>Good</v>
      </c>
      <c r="L101" s="8" t="str">
        <f t="shared" si="2"/>
        <v>Mar</v>
      </c>
      <c r="M101" s="8" t="str">
        <f t="shared" si="3"/>
        <v>Tyler Ball</v>
      </c>
      <c r="N101" s="8">
        <f t="shared" si="4"/>
        <v>6</v>
      </c>
      <c r="O101" s="8">
        <f t="shared" si="5"/>
        <v>39</v>
      </c>
      <c r="P101" s="8" t="str">
        <f t="shared" si="6"/>
        <v>August</v>
      </c>
      <c r="Q101" s="8">
        <f t="shared" si="7"/>
        <v>0</v>
      </c>
      <c r="R101" s="8" t="str">
        <f t="shared" si="8"/>
        <v>Not Eligible</v>
      </c>
      <c r="S101" s="8" t="str">
        <f t="shared" si="9"/>
        <v>False</v>
      </c>
      <c r="T101" s="9">
        <f t="shared" si="10"/>
        <v>2911</v>
      </c>
      <c r="U101" s="10"/>
    </row>
    <row r="102" ht="15.75" customHeight="1">
      <c r="A102" s="4" t="s">
        <v>306</v>
      </c>
      <c r="B102" s="4" t="s">
        <v>69</v>
      </c>
      <c r="C102" s="4" t="s">
        <v>307</v>
      </c>
      <c r="D102" s="4" t="s">
        <v>24</v>
      </c>
      <c r="E102" s="4" t="s">
        <v>89</v>
      </c>
      <c r="F102" s="5">
        <v>69.0</v>
      </c>
      <c r="G102" s="6">
        <v>35837.0</v>
      </c>
      <c r="H102" s="6">
        <v>41768.0</v>
      </c>
      <c r="I102" s="7">
        <v>8093.0</v>
      </c>
      <c r="J102" s="8" t="str">
        <f t="shared" si="1"/>
        <v>Pass</v>
      </c>
      <c r="K102" s="8" t="str">
        <f t="array" ref="K102">IFS(F102&gt;=90,"Excellent",F102&gt;=70,"Good",F102&gt;=50,"Average",F102&lt;50,"Poor")</f>
        <v>Average</v>
      </c>
      <c r="L102" s="8" t="str">
        <f t="shared" si="2"/>
        <v>IT</v>
      </c>
      <c r="M102" s="8" t="str">
        <f t="shared" si="3"/>
        <v>Dana Rogers</v>
      </c>
      <c r="N102" s="8">
        <f t="shared" si="4"/>
        <v>6</v>
      </c>
      <c r="O102" s="8">
        <f t="shared" si="5"/>
        <v>27</v>
      </c>
      <c r="P102" s="8" t="str">
        <f t="shared" si="6"/>
        <v>May</v>
      </c>
      <c r="Q102" s="8">
        <f t="shared" si="7"/>
        <v>11</v>
      </c>
      <c r="R102" s="8" t="str">
        <f t="shared" si="8"/>
        <v>Eligible</v>
      </c>
      <c r="S102" s="8" t="str">
        <f t="shared" si="9"/>
        <v>True</v>
      </c>
      <c r="T102" s="9">
        <f t="shared" si="10"/>
        <v>4046.5</v>
      </c>
      <c r="U102" s="10"/>
    </row>
    <row r="103" ht="15.75" customHeight="1">
      <c r="A103" s="4" t="s">
        <v>308</v>
      </c>
      <c r="B103" s="4" t="s">
        <v>248</v>
      </c>
      <c r="C103" s="4" t="s">
        <v>309</v>
      </c>
      <c r="D103" s="4" t="s">
        <v>34</v>
      </c>
      <c r="E103" s="4" t="s">
        <v>35</v>
      </c>
      <c r="F103" s="5">
        <v>45.0</v>
      </c>
      <c r="G103" s="6">
        <v>35467.0</v>
      </c>
      <c r="H103" s="6">
        <v>43429.0</v>
      </c>
      <c r="I103" s="7">
        <v>5606.0</v>
      </c>
      <c r="J103" s="8" t="str">
        <f t="shared" si="1"/>
        <v>Fail</v>
      </c>
      <c r="K103" s="8" t="str">
        <f t="array" ref="K103">IFS(F103&gt;=90,"Excellent",F103&gt;=70,"Good",F103&gt;=50,"Average",F103&lt;50,"Poor")</f>
        <v>Poor</v>
      </c>
      <c r="L103" s="8" t="str">
        <f t="shared" si="2"/>
        <v>HR</v>
      </c>
      <c r="M103" s="8" t="str">
        <f t="shared" si="3"/>
        <v>Debra Green</v>
      </c>
      <c r="N103" s="8">
        <f t="shared" si="4"/>
        <v>6</v>
      </c>
      <c r="O103" s="8">
        <f t="shared" si="5"/>
        <v>28</v>
      </c>
      <c r="P103" s="8" t="str">
        <f t="shared" si="6"/>
        <v>November</v>
      </c>
      <c r="Q103" s="8">
        <f t="shared" si="7"/>
        <v>6</v>
      </c>
      <c r="R103" s="8" t="str">
        <f t="shared" si="8"/>
        <v>Eligible</v>
      </c>
      <c r="S103" s="8" t="str">
        <f t="shared" si="9"/>
        <v>False</v>
      </c>
      <c r="T103" s="9">
        <f t="shared" si="10"/>
        <v>2803</v>
      </c>
      <c r="U103" s="10"/>
    </row>
    <row r="104" ht="15.75" customHeight="1">
      <c r="A104" s="4" t="s">
        <v>310</v>
      </c>
      <c r="B104" s="4" t="s">
        <v>311</v>
      </c>
      <c r="C104" s="4" t="s">
        <v>226</v>
      </c>
      <c r="D104" s="4" t="s">
        <v>24</v>
      </c>
      <c r="E104" s="4" t="s">
        <v>89</v>
      </c>
      <c r="F104" s="5">
        <v>87.0</v>
      </c>
      <c r="G104" s="6">
        <v>31949.0</v>
      </c>
      <c r="H104" s="6">
        <v>42610.0</v>
      </c>
      <c r="I104" s="7">
        <v>4798.0</v>
      </c>
      <c r="J104" s="8" t="str">
        <f t="shared" si="1"/>
        <v>Pass</v>
      </c>
      <c r="K104" s="8" t="str">
        <f t="array" ref="K104">IFS(F104&gt;=90,"Excellent",F104&gt;=70,"Good",F104&gt;=50,"Average",F104&lt;50,"Poor")</f>
        <v>Good</v>
      </c>
      <c r="L104" s="8" t="str">
        <f t="shared" si="2"/>
        <v>IT</v>
      </c>
      <c r="M104" s="8" t="str">
        <f t="shared" si="3"/>
        <v>Joan Smith</v>
      </c>
      <c r="N104" s="8">
        <f t="shared" si="4"/>
        <v>6</v>
      </c>
      <c r="O104" s="8">
        <f t="shared" si="5"/>
        <v>38</v>
      </c>
      <c r="P104" s="8" t="str">
        <f t="shared" si="6"/>
        <v>August</v>
      </c>
      <c r="Q104" s="8">
        <f t="shared" si="7"/>
        <v>9</v>
      </c>
      <c r="R104" s="8" t="str">
        <f t="shared" si="8"/>
        <v>Eligible</v>
      </c>
      <c r="S104" s="8" t="str">
        <f t="shared" si="9"/>
        <v>True</v>
      </c>
      <c r="T104" s="9">
        <f t="shared" si="10"/>
        <v>2399</v>
      </c>
      <c r="U104" s="10"/>
    </row>
    <row r="105" ht="15.75" customHeight="1">
      <c r="A105" s="4" t="s">
        <v>312</v>
      </c>
      <c r="B105" s="4" t="s">
        <v>313</v>
      </c>
      <c r="C105" s="4" t="s">
        <v>314</v>
      </c>
      <c r="D105" s="4" t="s">
        <v>29</v>
      </c>
      <c r="E105" s="4" t="s">
        <v>30</v>
      </c>
      <c r="F105" s="5">
        <v>86.0</v>
      </c>
      <c r="G105" s="6">
        <v>34903.0</v>
      </c>
      <c r="H105" s="6">
        <v>41368.0</v>
      </c>
      <c r="I105" s="7">
        <v>8902.0</v>
      </c>
      <c r="J105" s="8" t="str">
        <f t="shared" si="1"/>
        <v>Pass</v>
      </c>
      <c r="K105" s="8" t="str">
        <f t="array" ref="K105">IFS(F105&gt;=90,"Excellent",F105&gt;=70,"Good",F105&gt;=50,"Average",F105&lt;50,"Poor")</f>
        <v>Good</v>
      </c>
      <c r="L105" s="8" t="str">
        <f t="shared" si="2"/>
        <v>Fin</v>
      </c>
      <c r="M105" s="8" t="str">
        <f t="shared" si="3"/>
        <v>Matthew Frazier</v>
      </c>
      <c r="N105" s="8">
        <f t="shared" si="4"/>
        <v>6</v>
      </c>
      <c r="O105" s="8">
        <f t="shared" si="5"/>
        <v>30</v>
      </c>
      <c r="P105" s="8" t="str">
        <f t="shared" si="6"/>
        <v>April</v>
      </c>
      <c r="Q105" s="8">
        <f t="shared" si="7"/>
        <v>12</v>
      </c>
      <c r="R105" s="8" t="str">
        <f t="shared" si="8"/>
        <v>Eligible</v>
      </c>
      <c r="S105" s="8" t="str">
        <f t="shared" si="9"/>
        <v>False</v>
      </c>
      <c r="T105" s="9">
        <f t="shared" si="10"/>
        <v>4451</v>
      </c>
      <c r="U105" s="10"/>
    </row>
    <row r="106" ht="15.75" customHeight="1">
      <c r="A106" s="4" t="s">
        <v>315</v>
      </c>
      <c r="B106" s="4" t="s">
        <v>316</v>
      </c>
      <c r="C106" s="4" t="s">
        <v>317</v>
      </c>
      <c r="D106" s="4" t="s">
        <v>75</v>
      </c>
      <c r="E106" s="4" t="s">
        <v>85</v>
      </c>
      <c r="F106" s="5">
        <v>97.0</v>
      </c>
      <c r="G106" s="6">
        <v>34404.0</v>
      </c>
      <c r="H106" s="6">
        <v>44591.0</v>
      </c>
      <c r="I106" s="7">
        <v>4866.0</v>
      </c>
      <c r="J106" s="8" t="str">
        <f t="shared" si="1"/>
        <v>Pass</v>
      </c>
      <c r="K106" s="8" t="str">
        <f t="array" ref="K106">IFS(F106&gt;=90,"Excellent",F106&gt;=70,"Good",F106&gt;=50,"Average",F106&lt;50,"Poor")</f>
        <v>Excellent</v>
      </c>
      <c r="L106" s="8" t="str">
        <f t="shared" si="2"/>
        <v>Mar</v>
      </c>
      <c r="M106" s="8" t="str">
        <f t="shared" si="3"/>
        <v>Christine Martinez</v>
      </c>
      <c r="N106" s="8">
        <f t="shared" si="4"/>
        <v>6</v>
      </c>
      <c r="O106" s="8">
        <f t="shared" si="5"/>
        <v>31</v>
      </c>
      <c r="P106" s="8" t="str">
        <f t="shared" si="6"/>
        <v>January</v>
      </c>
      <c r="Q106" s="8">
        <f t="shared" si="7"/>
        <v>3</v>
      </c>
      <c r="R106" s="8" t="str">
        <f t="shared" si="8"/>
        <v>Eligible</v>
      </c>
      <c r="S106" s="8" t="str">
        <f t="shared" si="9"/>
        <v>False</v>
      </c>
      <c r="T106" s="9">
        <f t="shared" si="10"/>
        <v>2433</v>
      </c>
      <c r="U106" s="10"/>
    </row>
    <row r="107" ht="15.75" customHeight="1">
      <c r="A107" s="4" t="s">
        <v>318</v>
      </c>
      <c r="B107" s="4" t="s">
        <v>55</v>
      </c>
      <c r="C107" s="4" t="s">
        <v>133</v>
      </c>
      <c r="D107" s="4" t="s">
        <v>46</v>
      </c>
      <c r="E107" s="4" t="s">
        <v>47</v>
      </c>
      <c r="F107" s="5">
        <v>87.0</v>
      </c>
      <c r="G107" s="6">
        <v>36167.0</v>
      </c>
      <c r="H107" s="6">
        <v>42194.0</v>
      </c>
      <c r="I107" s="7">
        <v>8027.0</v>
      </c>
      <c r="J107" s="8" t="str">
        <f t="shared" si="1"/>
        <v>Pass</v>
      </c>
      <c r="K107" s="8" t="str">
        <f t="array" ref="K107">IFS(F107&gt;=90,"Excellent",F107&gt;=70,"Good",F107&gt;=50,"Average",F107&lt;50,"Poor")</f>
        <v>Good</v>
      </c>
      <c r="L107" s="8" t="str">
        <f t="shared" si="2"/>
        <v>Sal</v>
      </c>
      <c r="M107" s="8" t="str">
        <f t="shared" si="3"/>
        <v>Mary Hernandez</v>
      </c>
      <c r="N107" s="8">
        <f t="shared" si="4"/>
        <v>6</v>
      </c>
      <c r="O107" s="8">
        <f t="shared" si="5"/>
        <v>26</v>
      </c>
      <c r="P107" s="8" t="str">
        <f t="shared" si="6"/>
        <v>July</v>
      </c>
      <c r="Q107" s="8">
        <f t="shared" si="7"/>
        <v>10</v>
      </c>
      <c r="R107" s="8" t="str">
        <f t="shared" si="8"/>
        <v>Eligible</v>
      </c>
      <c r="S107" s="8" t="str">
        <f t="shared" si="9"/>
        <v>True</v>
      </c>
      <c r="T107" s="9">
        <f t="shared" si="10"/>
        <v>4013.5</v>
      </c>
      <c r="U107" s="10"/>
    </row>
    <row r="108" ht="15.75" customHeight="1">
      <c r="A108" s="4" t="s">
        <v>319</v>
      </c>
      <c r="B108" s="4" t="s">
        <v>163</v>
      </c>
      <c r="C108" s="4" t="s">
        <v>320</v>
      </c>
      <c r="D108" s="4" t="s">
        <v>75</v>
      </c>
      <c r="E108" s="4" t="s">
        <v>85</v>
      </c>
      <c r="F108" s="5">
        <v>52.0</v>
      </c>
      <c r="G108" s="6">
        <v>33045.0</v>
      </c>
      <c r="H108" s="6">
        <v>41717.0</v>
      </c>
      <c r="I108" s="7">
        <v>3412.0</v>
      </c>
      <c r="J108" s="8" t="str">
        <f t="shared" si="1"/>
        <v>Pass</v>
      </c>
      <c r="K108" s="8" t="str">
        <f t="array" ref="K108">IFS(F108&gt;=90,"Excellent",F108&gt;=70,"Good",F108&gt;=50,"Average",F108&lt;50,"Poor")</f>
        <v>Average</v>
      </c>
      <c r="L108" s="8" t="str">
        <f t="shared" si="2"/>
        <v>Mar</v>
      </c>
      <c r="M108" s="8" t="str">
        <f t="shared" si="3"/>
        <v>Christopher Pratt</v>
      </c>
      <c r="N108" s="8">
        <f t="shared" si="4"/>
        <v>6</v>
      </c>
      <c r="O108" s="8">
        <f t="shared" si="5"/>
        <v>35</v>
      </c>
      <c r="P108" s="8" t="str">
        <f t="shared" si="6"/>
        <v>March</v>
      </c>
      <c r="Q108" s="8">
        <f t="shared" si="7"/>
        <v>11</v>
      </c>
      <c r="R108" s="8" t="str">
        <f t="shared" si="8"/>
        <v>Eligible</v>
      </c>
      <c r="S108" s="8" t="str">
        <f t="shared" si="9"/>
        <v>False</v>
      </c>
      <c r="T108" s="9">
        <f t="shared" si="10"/>
        <v>1706</v>
      </c>
      <c r="U108" s="10"/>
    </row>
    <row r="109" ht="15.75" customHeight="1">
      <c r="A109" s="4" t="s">
        <v>321</v>
      </c>
      <c r="B109" s="4" t="s">
        <v>322</v>
      </c>
      <c r="C109" s="4" t="s">
        <v>323</v>
      </c>
      <c r="D109" s="4" t="s">
        <v>46</v>
      </c>
      <c r="E109" s="4" t="s">
        <v>53</v>
      </c>
      <c r="F109" s="5">
        <v>56.0</v>
      </c>
      <c r="G109" s="6">
        <v>36936.0</v>
      </c>
      <c r="H109" s="6">
        <v>44545.0</v>
      </c>
      <c r="I109" s="7">
        <v>5746.0</v>
      </c>
      <c r="J109" s="8" t="str">
        <f t="shared" si="1"/>
        <v>Pass</v>
      </c>
      <c r="K109" s="8" t="str">
        <f t="array" ref="K109">IFS(F109&gt;=90,"Excellent",F109&gt;=70,"Good",F109&gt;=50,"Average",F109&lt;50,"Poor")</f>
        <v>Average</v>
      </c>
      <c r="L109" s="8" t="str">
        <f t="shared" si="2"/>
        <v>Sal</v>
      </c>
      <c r="M109" s="8" t="str">
        <f t="shared" si="3"/>
        <v>Karina Perry</v>
      </c>
      <c r="N109" s="8">
        <f t="shared" si="4"/>
        <v>6</v>
      </c>
      <c r="O109" s="8">
        <f t="shared" si="5"/>
        <v>24</v>
      </c>
      <c r="P109" s="8" t="str">
        <f t="shared" si="6"/>
        <v>December</v>
      </c>
      <c r="Q109" s="8">
        <f t="shared" si="7"/>
        <v>3</v>
      </c>
      <c r="R109" s="8" t="str">
        <f t="shared" si="8"/>
        <v>Not Eligible</v>
      </c>
      <c r="S109" s="8" t="str">
        <f t="shared" si="9"/>
        <v>True</v>
      </c>
      <c r="T109" s="9">
        <f t="shared" si="10"/>
        <v>2873</v>
      </c>
      <c r="U109" s="10"/>
    </row>
    <row r="110" ht="15.75" customHeight="1">
      <c r="A110" s="4" t="s">
        <v>324</v>
      </c>
      <c r="B110" s="4" t="s">
        <v>325</v>
      </c>
      <c r="C110" s="4" t="s">
        <v>210</v>
      </c>
      <c r="D110" s="4" t="s">
        <v>34</v>
      </c>
      <c r="E110" s="4" t="s">
        <v>71</v>
      </c>
      <c r="F110" s="5">
        <v>87.0</v>
      </c>
      <c r="G110" s="6">
        <v>32453.0</v>
      </c>
      <c r="H110" s="6">
        <v>43265.0</v>
      </c>
      <c r="I110" s="7">
        <v>5454.0</v>
      </c>
      <c r="J110" s="8" t="str">
        <f t="shared" si="1"/>
        <v>Pass</v>
      </c>
      <c r="K110" s="8" t="str">
        <f t="array" ref="K110">IFS(F110&gt;=90,"Excellent",F110&gt;=70,"Good",F110&gt;=50,"Average",F110&lt;50,"Poor")</f>
        <v>Good</v>
      </c>
      <c r="L110" s="8" t="str">
        <f t="shared" si="2"/>
        <v>HR</v>
      </c>
      <c r="M110" s="8" t="str">
        <f t="shared" si="3"/>
        <v>Juan Moore</v>
      </c>
      <c r="N110" s="8">
        <f t="shared" si="4"/>
        <v>6</v>
      </c>
      <c r="O110" s="8">
        <f t="shared" si="5"/>
        <v>36</v>
      </c>
      <c r="P110" s="8" t="str">
        <f t="shared" si="6"/>
        <v>June</v>
      </c>
      <c r="Q110" s="8">
        <f t="shared" si="7"/>
        <v>7</v>
      </c>
      <c r="R110" s="8" t="str">
        <f t="shared" si="8"/>
        <v>Eligible</v>
      </c>
      <c r="S110" s="8" t="str">
        <f t="shared" si="9"/>
        <v>False</v>
      </c>
      <c r="T110" s="9">
        <f t="shared" si="10"/>
        <v>2727</v>
      </c>
      <c r="U110" s="10"/>
    </row>
    <row r="111" ht="15.75" customHeight="1">
      <c r="A111" s="4" t="s">
        <v>326</v>
      </c>
      <c r="B111" s="4" t="s">
        <v>327</v>
      </c>
      <c r="C111" s="4" t="s">
        <v>125</v>
      </c>
      <c r="D111" s="4" t="s">
        <v>29</v>
      </c>
      <c r="E111" s="4" t="s">
        <v>30</v>
      </c>
      <c r="F111" s="5">
        <v>53.0</v>
      </c>
      <c r="G111" s="6">
        <v>36518.0</v>
      </c>
      <c r="H111" s="6">
        <v>43614.0</v>
      </c>
      <c r="I111" s="7">
        <v>6880.0</v>
      </c>
      <c r="J111" s="8" t="str">
        <f t="shared" si="1"/>
        <v>Pass</v>
      </c>
      <c r="K111" s="8" t="str">
        <f t="array" ref="K111">IFS(F111&gt;=90,"Excellent",F111&gt;=70,"Good",F111&gt;=50,"Average",F111&lt;50,"Poor")</f>
        <v>Average</v>
      </c>
      <c r="L111" s="8" t="str">
        <f t="shared" si="2"/>
        <v>Fin</v>
      </c>
      <c r="M111" s="8" t="str">
        <f t="shared" si="3"/>
        <v>Kimberly Myers</v>
      </c>
      <c r="N111" s="8">
        <f t="shared" si="4"/>
        <v>6</v>
      </c>
      <c r="O111" s="8">
        <f t="shared" si="5"/>
        <v>25</v>
      </c>
      <c r="P111" s="8" t="str">
        <f t="shared" si="6"/>
        <v>May</v>
      </c>
      <c r="Q111" s="8">
        <f t="shared" si="7"/>
        <v>6</v>
      </c>
      <c r="R111" s="8" t="str">
        <f t="shared" si="8"/>
        <v>Not Eligible</v>
      </c>
      <c r="S111" s="8" t="str">
        <f t="shared" si="9"/>
        <v>False</v>
      </c>
      <c r="T111" s="9">
        <f t="shared" si="10"/>
        <v>3440</v>
      </c>
      <c r="U111" s="10"/>
    </row>
    <row r="112" ht="15.75" customHeight="1">
      <c r="A112" s="4" t="s">
        <v>328</v>
      </c>
      <c r="B112" s="4" t="s">
        <v>234</v>
      </c>
      <c r="C112" s="4" t="s">
        <v>195</v>
      </c>
      <c r="D112" s="4" t="s">
        <v>34</v>
      </c>
      <c r="E112" s="4" t="s">
        <v>71</v>
      </c>
      <c r="F112" s="5">
        <v>72.0</v>
      </c>
      <c r="G112" s="6">
        <v>36782.0</v>
      </c>
      <c r="H112" s="6">
        <v>41751.0</v>
      </c>
      <c r="I112" s="7">
        <v>3532.0</v>
      </c>
      <c r="J112" s="8" t="str">
        <f t="shared" si="1"/>
        <v>Pass</v>
      </c>
      <c r="K112" s="8" t="str">
        <f t="array" ref="K112">IFS(F112&gt;=90,"Excellent",F112&gt;=70,"Good",F112&gt;=50,"Average",F112&lt;50,"Poor")</f>
        <v>Good</v>
      </c>
      <c r="L112" s="8" t="str">
        <f t="shared" si="2"/>
        <v>HR</v>
      </c>
      <c r="M112" s="8" t="str">
        <f t="shared" si="3"/>
        <v>Robert Austin</v>
      </c>
      <c r="N112" s="8">
        <f t="shared" si="4"/>
        <v>6</v>
      </c>
      <c r="O112" s="8">
        <f t="shared" si="5"/>
        <v>25</v>
      </c>
      <c r="P112" s="8" t="str">
        <f t="shared" si="6"/>
        <v>April</v>
      </c>
      <c r="Q112" s="8">
        <f t="shared" si="7"/>
        <v>11</v>
      </c>
      <c r="R112" s="8" t="str">
        <f t="shared" si="8"/>
        <v>Not Eligible</v>
      </c>
      <c r="S112" s="8" t="str">
        <f t="shared" si="9"/>
        <v>False</v>
      </c>
      <c r="T112" s="9">
        <f t="shared" si="10"/>
        <v>1766</v>
      </c>
      <c r="U112" s="10"/>
    </row>
    <row r="113" ht="15.75" customHeight="1">
      <c r="A113" s="4" t="s">
        <v>329</v>
      </c>
      <c r="B113" s="4" t="s">
        <v>58</v>
      </c>
      <c r="C113" s="4" t="s">
        <v>180</v>
      </c>
      <c r="D113" s="4" t="s">
        <v>24</v>
      </c>
      <c r="E113" s="4" t="s">
        <v>207</v>
      </c>
      <c r="F113" s="5">
        <v>41.0</v>
      </c>
      <c r="G113" s="6">
        <v>34195.0</v>
      </c>
      <c r="H113" s="6">
        <v>44705.0</v>
      </c>
      <c r="I113" s="7">
        <v>5978.0</v>
      </c>
      <c r="J113" s="8" t="str">
        <f t="shared" si="1"/>
        <v>Fail</v>
      </c>
      <c r="K113" s="8" t="str">
        <f t="array" ref="K113">IFS(F113&gt;=90,"Excellent",F113&gt;=70,"Good",F113&gt;=50,"Average",F113&lt;50,"Poor")</f>
        <v>Poor</v>
      </c>
      <c r="L113" s="8" t="str">
        <f t="shared" si="2"/>
        <v>IT</v>
      </c>
      <c r="M113" s="8" t="str">
        <f t="shared" si="3"/>
        <v>David Schroeder</v>
      </c>
      <c r="N113" s="8">
        <f t="shared" si="4"/>
        <v>6</v>
      </c>
      <c r="O113" s="8">
        <f t="shared" si="5"/>
        <v>32</v>
      </c>
      <c r="P113" s="8" t="str">
        <f t="shared" si="6"/>
        <v>May</v>
      </c>
      <c r="Q113" s="8">
        <f t="shared" si="7"/>
        <v>3</v>
      </c>
      <c r="R113" s="8" t="str">
        <f t="shared" si="8"/>
        <v>Eligible</v>
      </c>
      <c r="S113" s="8" t="str">
        <f t="shared" si="9"/>
        <v>True</v>
      </c>
      <c r="T113" s="9">
        <f t="shared" si="10"/>
        <v>2989</v>
      </c>
      <c r="U113" s="10"/>
    </row>
    <row r="114" ht="15.75" customHeight="1">
      <c r="A114" s="4" t="s">
        <v>330</v>
      </c>
      <c r="B114" s="4" t="s">
        <v>331</v>
      </c>
      <c r="C114" s="4" t="s">
        <v>332</v>
      </c>
      <c r="D114" s="4" t="s">
        <v>75</v>
      </c>
      <c r="E114" s="4" t="s">
        <v>85</v>
      </c>
      <c r="F114" s="5">
        <v>97.0</v>
      </c>
      <c r="G114" s="6">
        <v>35561.0</v>
      </c>
      <c r="H114" s="6">
        <v>45401.0</v>
      </c>
      <c r="I114" s="7">
        <v>4956.0</v>
      </c>
      <c r="J114" s="8" t="str">
        <f t="shared" si="1"/>
        <v>Pass</v>
      </c>
      <c r="K114" s="8" t="str">
        <f t="array" ref="K114">IFS(F114&gt;=90,"Excellent",F114&gt;=70,"Good",F114&gt;=50,"Average",F114&lt;50,"Poor")</f>
        <v>Excellent</v>
      </c>
      <c r="L114" s="8" t="str">
        <f t="shared" si="2"/>
        <v>Mar</v>
      </c>
      <c r="M114" s="8" t="str">
        <f t="shared" si="3"/>
        <v>Michele Welch</v>
      </c>
      <c r="N114" s="8">
        <f t="shared" si="4"/>
        <v>6</v>
      </c>
      <c r="O114" s="8">
        <f t="shared" si="5"/>
        <v>28</v>
      </c>
      <c r="P114" s="8" t="str">
        <f t="shared" si="6"/>
        <v>April</v>
      </c>
      <c r="Q114" s="8">
        <f t="shared" si="7"/>
        <v>1</v>
      </c>
      <c r="R114" s="8" t="str">
        <f t="shared" si="8"/>
        <v>Not Eligible</v>
      </c>
      <c r="S114" s="8" t="str">
        <f t="shared" si="9"/>
        <v>False</v>
      </c>
      <c r="T114" s="9">
        <f t="shared" si="10"/>
        <v>2478</v>
      </c>
      <c r="U114" s="10"/>
    </row>
    <row r="115" ht="15.75" customHeight="1">
      <c r="A115" s="4" t="s">
        <v>333</v>
      </c>
      <c r="B115" s="4" t="s">
        <v>304</v>
      </c>
      <c r="C115" s="4" t="s">
        <v>334</v>
      </c>
      <c r="D115" s="4" t="s">
        <v>29</v>
      </c>
      <c r="E115" s="4" t="s">
        <v>30</v>
      </c>
      <c r="F115" s="5">
        <v>70.0</v>
      </c>
      <c r="G115" s="6">
        <v>36741.0</v>
      </c>
      <c r="H115" s="6">
        <v>45510.0</v>
      </c>
      <c r="I115" s="7">
        <v>4357.0</v>
      </c>
      <c r="J115" s="8" t="str">
        <f t="shared" si="1"/>
        <v>Pass</v>
      </c>
      <c r="K115" s="8" t="str">
        <f t="array" ref="K115">IFS(F115&gt;=90,"Excellent",F115&gt;=70,"Good",F115&gt;=50,"Average",F115&lt;50,"Poor")</f>
        <v>Good</v>
      </c>
      <c r="L115" s="8" t="str">
        <f t="shared" si="2"/>
        <v>Fin</v>
      </c>
      <c r="M115" s="8" t="str">
        <f t="shared" si="3"/>
        <v>Tyler Navarro</v>
      </c>
      <c r="N115" s="8">
        <f t="shared" si="4"/>
        <v>6</v>
      </c>
      <c r="O115" s="8">
        <f t="shared" si="5"/>
        <v>25</v>
      </c>
      <c r="P115" s="8" t="str">
        <f t="shared" si="6"/>
        <v>August</v>
      </c>
      <c r="Q115" s="8">
        <f t="shared" si="7"/>
        <v>1</v>
      </c>
      <c r="R115" s="8" t="str">
        <f t="shared" si="8"/>
        <v>Not Eligible</v>
      </c>
      <c r="S115" s="8" t="str">
        <f t="shared" si="9"/>
        <v>False</v>
      </c>
      <c r="T115" s="9">
        <f t="shared" si="10"/>
        <v>2178.5</v>
      </c>
      <c r="U115" s="10"/>
    </row>
    <row r="116" ht="15.75" customHeight="1">
      <c r="A116" s="4" t="s">
        <v>335</v>
      </c>
      <c r="B116" s="4" t="s">
        <v>336</v>
      </c>
      <c r="C116" s="4" t="s">
        <v>337</v>
      </c>
      <c r="D116" s="4" t="s">
        <v>24</v>
      </c>
      <c r="E116" s="4" t="s">
        <v>89</v>
      </c>
      <c r="F116" s="5">
        <v>88.0</v>
      </c>
      <c r="G116" s="6">
        <v>36917.0</v>
      </c>
      <c r="H116" s="6">
        <v>43626.0</v>
      </c>
      <c r="I116" s="7">
        <v>9154.0</v>
      </c>
      <c r="J116" s="8" t="str">
        <f t="shared" si="1"/>
        <v>Pass</v>
      </c>
      <c r="K116" s="8" t="str">
        <f t="array" ref="K116">IFS(F116&gt;=90,"Excellent",F116&gt;=70,"Good",F116&gt;=50,"Average",F116&lt;50,"Poor")</f>
        <v>Good</v>
      </c>
      <c r="L116" s="8" t="str">
        <f t="shared" si="2"/>
        <v>IT</v>
      </c>
      <c r="M116" s="8" t="str">
        <f t="shared" si="3"/>
        <v>Daniel Flowers</v>
      </c>
      <c r="N116" s="8">
        <f t="shared" si="4"/>
        <v>6</v>
      </c>
      <c r="O116" s="8">
        <f t="shared" si="5"/>
        <v>24</v>
      </c>
      <c r="P116" s="8" t="str">
        <f t="shared" si="6"/>
        <v>June</v>
      </c>
      <c r="Q116" s="8">
        <f t="shared" si="7"/>
        <v>6</v>
      </c>
      <c r="R116" s="8" t="str">
        <f t="shared" si="8"/>
        <v>Not Eligible</v>
      </c>
      <c r="S116" s="8" t="str">
        <f t="shared" si="9"/>
        <v>True</v>
      </c>
      <c r="T116" s="9">
        <f t="shared" si="10"/>
        <v>4577</v>
      </c>
      <c r="U116" s="10"/>
    </row>
    <row r="117" ht="15.75" customHeight="1">
      <c r="A117" s="4" t="s">
        <v>338</v>
      </c>
      <c r="B117" s="4" t="s">
        <v>339</v>
      </c>
      <c r="C117" s="4" t="s">
        <v>226</v>
      </c>
      <c r="D117" s="4" t="s">
        <v>24</v>
      </c>
      <c r="E117" s="4" t="s">
        <v>207</v>
      </c>
      <c r="F117" s="5">
        <v>89.0</v>
      </c>
      <c r="G117" s="6">
        <v>31841.0</v>
      </c>
      <c r="H117" s="6">
        <v>42889.0</v>
      </c>
      <c r="I117" s="7">
        <v>8160.0</v>
      </c>
      <c r="J117" s="8" t="str">
        <f t="shared" si="1"/>
        <v>Pass</v>
      </c>
      <c r="K117" s="8" t="str">
        <f t="array" ref="K117">IFS(F117&gt;=90,"Excellent",F117&gt;=70,"Good",F117&gt;=50,"Average",F117&lt;50,"Poor")</f>
        <v>Good</v>
      </c>
      <c r="L117" s="8" t="str">
        <f t="shared" si="2"/>
        <v>IT</v>
      </c>
      <c r="M117" s="8" t="str">
        <f t="shared" si="3"/>
        <v>Natasha Smith</v>
      </c>
      <c r="N117" s="8">
        <f t="shared" si="4"/>
        <v>6</v>
      </c>
      <c r="O117" s="8">
        <f t="shared" si="5"/>
        <v>38</v>
      </c>
      <c r="P117" s="8" t="str">
        <f t="shared" si="6"/>
        <v>June</v>
      </c>
      <c r="Q117" s="8">
        <f t="shared" si="7"/>
        <v>8</v>
      </c>
      <c r="R117" s="8" t="str">
        <f t="shared" si="8"/>
        <v>Eligible</v>
      </c>
      <c r="S117" s="8" t="str">
        <f t="shared" si="9"/>
        <v>True</v>
      </c>
      <c r="T117" s="9">
        <f t="shared" si="10"/>
        <v>4080</v>
      </c>
      <c r="U117" s="10"/>
    </row>
    <row r="118" ht="15.75" customHeight="1">
      <c r="A118" s="4" t="s">
        <v>340</v>
      </c>
      <c r="B118" s="4" t="s">
        <v>66</v>
      </c>
      <c r="C118" s="4" t="s">
        <v>341</v>
      </c>
      <c r="D118" s="4" t="s">
        <v>29</v>
      </c>
      <c r="E118" s="4" t="s">
        <v>39</v>
      </c>
      <c r="F118" s="5">
        <v>73.0</v>
      </c>
      <c r="G118" s="6">
        <v>34114.0</v>
      </c>
      <c r="H118" s="6">
        <v>43682.0</v>
      </c>
      <c r="I118" s="7">
        <v>8560.0</v>
      </c>
      <c r="J118" s="8" t="str">
        <f t="shared" si="1"/>
        <v>Pass</v>
      </c>
      <c r="K118" s="8" t="str">
        <f t="array" ref="K118">IFS(F118&gt;=90,"Excellent",F118&gt;=70,"Good",F118&gt;=50,"Average",F118&lt;50,"Poor")</f>
        <v>Good</v>
      </c>
      <c r="L118" s="8" t="str">
        <f t="shared" si="2"/>
        <v>Fin</v>
      </c>
      <c r="M118" s="8" t="str">
        <f t="shared" si="3"/>
        <v>Samuel Washington</v>
      </c>
      <c r="N118" s="8">
        <f t="shared" si="4"/>
        <v>6</v>
      </c>
      <c r="O118" s="8">
        <f t="shared" si="5"/>
        <v>32</v>
      </c>
      <c r="P118" s="8" t="str">
        <f t="shared" si="6"/>
        <v>August</v>
      </c>
      <c r="Q118" s="8">
        <f t="shared" si="7"/>
        <v>6</v>
      </c>
      <c r="R118" s="8" t="str">
        <f t="shared" si="8"/>
        <v>Eligible</v>
      </c>
      <c r="S118" s="8" t="str">
        <f t="shared" si="9"/>
        <v>False</v>
      </c>
      <c r="T118" s="9">
        <f t="shared" si="10"/>
        <v>4280</v>
      </c>
      <c r="U118" s="10"/>
    </row>
    <row r="119" ht="15.75" customHeight="1">
      <c r="A119" s="4" t="s">
        <v>342</v>
      </c>
      <c r="B119" s="4" t="s">
        <v>343</v>
      </c>
      <c r="C119" s="4" t="s">
        <v>344</v>
      </c>
      <c r="D119" s="4" t="s">
        <v>46</v>
      </c>
      <c r="E119" s="4" t="s">
        <v>217</v>
      </c>
      <c r="F119" s="5">
        <v>72.0</v>
      </c>
      <c r="G119" s="6">
        <v>34797.0</v>
      </c>
      <c r="H119" s="6">
        <v>42127.0</v>
      </c>
      <c r="I119" s="7">
        <v>4942.0</v>
      </c>
      <c r="J119" s="8" t="str">
        <f t="shared" si="1"/>
        <v>Pass</v>
      </c>
      <c r="K119" s="8" t="str">
        <f t="array" ref="K119">IFS(F119&gt;=90,"Excellent",F119&gt;=70,"Good",F119&gt;=50,"Average",F119&lt;50,"Poor")</f>
        <v>Good</v>
      </c>
      <c r="L119" s="8" t="str">
        <f t="shared" si="2"/>
        <v>Sal</v>
      </c>
      <c r="M119" s="8" t="str">
        <f t="shared" si="3"/>
        <v>Curtis Palmer</v>
      </c>
      <c r="N119" s="8">
        <f t="shared" si="4"/>
        <v>6</v>
      </c>
      <c r="O119" s="8">
        <f t="shared" si="5"/>
        <v>30</v>
      </c>
      <c r="P119" s="8" t="str">
        <f t="shared" si="6"/>
        <v>May</v>
      </c>
      <c r="Q119" s="8">
        <f t="shared" si="7"/>
        <v>10</v>
      </c>
      <c r="R119" s="8" t="str">
        <f t="shared" si="8"/>
        <v>Eligible</v>
      </c>
      <c r="S119" s="8" t="str">
        <f t="shared" si="9"/>
        <v>True</v>
      </c>
      <c r="T119" s="9">
        <f t="shared" si="10"/>
        <v>2471</v>
      </c>
      <c r="U119" s="10"/>
    </row>
    <row r="120" ht="15.75" customHeight="1">
      <c r="A120" s="4" t="s">
        <v>345</v>
      </c>
      <c r="B120" s="4" t="s">
        <v>346</v>
      </c>
      <c r="C120" s="4" t="s">
        <v>347</v>
      </c>
      <c r="D120" s="4" t="s">
        <v>75</v>
      </c>
      <c r="E120" s="4" t="s">
        <v>76</v>
      </c>
      <c r="F120" s="5">
        <v>70.0</v>
      </c>
      <c r="G120" s="6">
        <v>32999.0</v>
      </c>
      <c r="H120" s="6">
        <v>42474.0</v>
      </c>
      <c r="I120" s="7">
        <v>8707.0</v>
      </c>
      <c r="J120" s="8" t="str">
        <f t="shared" si="1"/>
        <v>Pass</v>
      </c>
      <c r="K120" s="8" t="str">
        <f t="array" ref="K120">IFS(F120&gt;=90,"Excellent",F120&gt;=70,"Good",F120&gt;=50,"Average",F120&lt;50,"Poor")</f>
        <v>Good</v>
      </c>
      <c r="L120" s="8" t="str">
        <f t="shared" si="2"/>
        <v>Mar</v>
      </c>
      <c r="M120" s="8" t="str">
        <f t="shared" si="3"/>
        <v>Jill West</v>
      </c>
      <c r="N120" s="8">
        <f t="shared" si="4"/>
        <v>6</v>
      </c>
      <c r="O120" s="8">
        <f t="shared" si="5"/>
        <v>35</v>
      </c>
      <c r="P120" s="8" t="str">
        <f t="shared" si="6"/>
        <v>April</v>
      </c>
      <c r="Q120" s="8">
        <f t="shared" si="7"/>
        <v>9</v>
      </c>
      <c r="R120" s="8" t="str">
        <f t="shared" si="8"/>
        <v>Eligible</v>
      </c>
      <c r="S120" s="8" t="str">
        <f t="shared" si="9"/>
        <v>False</v>
      </c>
      <c r="T120" s="9">
        <f t="shared" si="10"/>
        <v>4353.5</v>
      </c>
      <c r="U120" s="10"/>
    </row>
    <row r="121" ht="15.75" customHeight="1">
      <c r="A121" s="4" t="s">
        <v>348</v>
      </c>
      <c r="B121" s="4" t="s">
        <v>349</v>
      </c>
      <c r="C121" s="4" t="s">
        <v>350</v>
      </c>
      <c r="D121" s="4" t="s">
        <v>34</v>
      </c>
      <c r="E121" s="4" t="s">
        <v>35</v>
      </c>
      <c r="F121" s="5">
        <v>33.0</v>
      </c>
      <c r="G121" s="6">
        <v>34535.0</v>
      </c>
      <c r="H121" s="6">
        <v>43176.0</v>
      </c>
      <c r="I121" s="7">
        <v>4416.0</v>
      </c>
      <c r="J121" s="8" t="str">
        <f t="shared" si="1"/>
        <v>Fail</v>
      </c>
      <c r="K121" s="8" t="str">
        <f t="array" ref="K121">IFS(F121&gt;=90,"Excellent",F121&gt;=70,"Good",F121&gt;=50,"Average",F121&lt;50,"Poor")</f>
        <v>Poor</v>
      </c>
      <c r="L121" s="8" t="str">
        <f t="shared" si="2"/>
        <v>HR</v>
      </c>
      <c r="M121" s="8" t="str">
        <f t="shared" si="3"/>
        <v>Zachary Rasmussen</v>
      </c>
      <c r="N121" s="8">
        <f t="shared" si="4"/>
        <v>6</v>
      </c>
      <c r="O121" s="8">
        <f t="shared" si="5"/>
        <v>31</v>
      </c>
      <c r="P121" s="8" t="str">
        <f t="shared" si="6"/>
        <v>March</v>
      </c>
      <c r="Q121" s="8">
        <f t="shared" si="7"/>
        <v>7</v>
      </c>
      <c r="R121" s="8" t="str">
        <f t="shared" si="8"/>
        <v>Eligible</v>
      </c>
      <c r="S121" s="8" t="str">
        <f t="shared" si="9"/>
        <v>False</v>
      </c>
      <c r="T121" s="9">
        <f t="shared" si="10"/>
        <v>2208</v>
      </c>
      <c r="U121" s="10"/>
    </row>
    <row r="122" ht="15.75" customHeight="1">
      <c r="A122" s="4" t="s">
        <v>351</v>
      </c>
      <c r="B122" s="4" t="s">
        <v>352</v>
      </c>
      <c r="C122" s="4" t="s">
        <v>353</v>
      </c>
      <c r="D122" s="4" t="s">
        <v>24</v>
      </c>
      <c r="E122" s="4" t="s">
        <v>25</v>
      </c>
      <c r="F122" s="5">
        <v>74.0</v>
      </c>
      <c r="G122" s="6">
        <v>32593.0</v>
      </c>
      <c r="H122" s="6">
        <v>43834.0</v>
      </c>
      <c r="I122" s="7">
        <v>6825.0</v>
      </c>
      <c r="J122" s="8" t="str">
        <f t="shared" si="1"/>
        <v>Pass</v>
      </c>
      <c r="K122" s="8" t="str">
        <f t="array" ref="K122">IFS(F122&gt;=90,"Excellent",F122&gt;=70,"Good",F122&gt;=50,"Average",F122&lt;50,"Poor")</f>
        <v>Good</v>
      </c>
      <c r="L122" s="8" t="str">
        <f t="shared" si="2"/>
        <v>IT</v>
      </c>
      <c r="M122" s="8" t="str">
        <f t="shared" si="3"/>
        <v>Raymond Watkins</v>
      </c>
      <c r="N122" s="8">
        <f t="shared" si="4"/>
        <v>6</v>
      </c>
      <c r="O122" s="8">
        <f t="shared" si="5"/>
        <v>36</v>
      </c>
      <c r="P122" s="8" t="str">
        <f t="shared" si="6"/>
        <v>January</v>
      </c>
      <c r="Q122" s="8">
        <f t="shared" si="7"/>
        <v>5</v>
      </c>
      <c r="R122" s="8" t="str">
        <f t="shared" si="8"/>
        <v>Eligible</v>
      </c>
      <c r="S122" s="8" t="str">
        <f t="shared" si="9"/>
        <v>True</v>
      </c>
      <c r="T122" s="9">
        <f t="shared" si="10"/>
        <v>3412.5</v>
      </c>
      <c r="U122" s="10"/>
    </row>
    <row r="123" ht="15.75" customHeight="1">
      <c r="A123" s="4" t="s">
        <v>354</v>
      </c>
      <c r="B123" s="4" t="s">
        <v>202</v>
      </c>
      <c r="C123" s="4" t="s">
        <v>355</v>
      </c>
      <c r="D123" s="4" t="s">
        <v>46</v>
      </c>
      <c r="E123" s="4" t="s">
        <v>53</v>
      </c>
      <c r="F123" s="5">
        <v>69.0</v>
      </c>
      <c r="G123" s="6">
        <v>35231.0</v>
      </c>
      <c r="H123" s="6">
        <v>42548.0</v>
      </c>
      <c r="I123" s="7">
        <v>6159.0</v>
      </c>
      <c r="J123" s="8" t="str">
        <f t="shared" si="1"/>
        <v>Pass</v>
      </c>
      <c r="K123" s="8" t="str">
        <f t="array" ref="K123">IFS(F123&gt;=90,"Excellent",F123&gt;=70,"Good",F123&gt;=50,"Average",F123&lt;50,"Poor")</f>
        <v>Average</v>
      </c>
      <c r="L123" s="8" t="str">
        <f t="shared" si="2"/>
        <v>Sal</v>
      </c>
      <c r="M123" s="8" t="str">
        <f t="shared" si="3"/>
        <v>Misty Cox</v>
      </c>
      <c r="N123" s="8">
        <f t="shared" si="4"/>
        <v>6</v>
      </c>
      <c r="O123" s="8">
        <f t="shared" si="5"/>
        <v>29</v>
      </c>
      <c r="P123" s="8" t="str">
        <f t="shared" si="6"/>
        <v>June</v>
      </c>
      <c r="Q123" s="8">
        <f t="shared" si="7"/>
        <v>9</v>
      </c>
      <c r="R123" s="8" t="str">
        <f t="shared" si="8"/>
        <v>Eligible</v>
      </c>
      <c r="S123" s="8" t="str">
        <f t="shared" si="9"/>
        <v>True</v>
      </c>
      <c r="T123" s="9">
        <f t="shared" si="10"/>
        <v>3079.5</v>
      </c>
      <c r="U123" s="10"/>
    </row>
    <row r="124" ht="15.75" customHeight="1">
      <c r="A124" s="4" t="s">
        <v>356</v>
      </c>
      <c r="B124" s="4" t="s">
        <v>172</v>
      </c>
      <c r="C124" s="4" t="s">
        <v>357</v>
      </c>
      <c r="D124" s="4" t="s">
        <v>24</v>
      </c>
      <c r="E124" s="4" t="s">
        <v>89</v>
      </c>
      <c r="F124" s="5">
        <v>70.0</v>
      </c>
      <c r="G124" s="6">
        <v>37433.0</v>
      </c>
      <c r="H124" s="6">
        <v>41949.0</v>
      </c>
      <c r="I124" s="7">
        <v>5474.0</v>
      </c>
      <c r="J124" s="8" t="str">
        <f t="shared" si="1"/>
        <v>Pass</v>
      </c>
      <c r="K124" s="8" t="str">
        <f t="array" ref="K124">IFS(F124&gt;=90,"Excellent",F124&gt;=70,"Good",F124&gt;=50,"Average",F124&lt;50,"Poor")</f>
        <v>Good</v>
      </c>
      <c r="L124" s="8" t="str">
        <f t="shared" si="2"/>
        <v>IT</v>
      </c>
      <c r="M124" s="8" t="str">
        <f t="shared" si="3"/>
        <v>Rachel Chang</v>
      </c>
      <c r="N124" s="8">
        <f t="shared" si="4"/>
        <v>6</v>
      </c>
      <c r="O124" s="8">
        <f t="shared" si="5"/>
        <v>23</v>
      </c>
      <c r="P124" s="8" t="str">
        <f t="shared" si="6"/>
        <v>November</v>
      </c>
      <c r="Q124" s="8">
        <f t="shared" si="7"/>
        <v>10</v>
      </c>
      <c r="R124" s="8" t="str">
        <f t="shared" si="8"/>
        <v>Not Eligible</v>
      </c>
      <c r="S124" s="8" t="str">
        <f t="shared" si="9"/>
        <v>True</v>
      </c>
      <c r="T124" s="9">
        <f t="shared" si="10"/>
        <v>2737</v>
      </c>
      <c r="U124" s="10"/>
    </row>
    <row r="125" ht="15.75" customHeight="1">
      <c r="A125" s="4" t="s">
        <v>358</v>
      </c>
      <c r="B125" s="4" t="s">
        <v>359</v>
      </c>
      <c r="C125" s="4" t="s">
        <v>210</v>
      </c>
      <c r="D125" s="4" t="s">
        <v>46</v>
      </c>
      <c r="E125" s="4" t="s">
        <v>47</v>
      </c>
      <c r="F125" s="5">
        <v>94.0</v>
      </c>
      <c r="G125" s="6">
        <v>36557.0</v>
      </c>
      <c r="H125" s="6">
        <v>44603.0</v>
      </c>
      <c r="I125" s="7">
        <v>8264.0</v>
      </c>
      <c r="J125" s="8" t="str">
        <f t="shared" si="1"/>
        <v>Pass</v>
      </c>
      <c r="K125" s="8" t="str">
        <f t="array" ref="K125">IFS(F125&gt;=90,"Excellent",F125&gt;=70,"Good",F125&gt;=50,"Average",F125&lt;50,"Poor")</f>
        <v>Excellent</v>
      </c>
      <c r="L125" s="8" t="str">
        <f t="shared" si="2"/>
        <v>Sal</v>
      </c>
      <c r="M125" s="8" t="str">
        <f t="shared" si="3"/>
        <v>Marcus Moore</v>
      </c>
      <c r="N125" s="8">
        <f t="shared" si="4"/>
        <v>6</v>
      </c>
      <c r="O125" s="8">
        <f t="shared" si="5"/>
        <v>25</v>
      </c>
      <c r="P125" s="8" t="str">
        <f t="shared" si="6"/>
        <v>February</v>
      </c>
      <c r="Q125" s="8">
        <f t="shared" si="7"/>
        <v>3</v>
      </c>
      <c r="R125" s="8" t="str">
        <f t="shared" si="8"/>
        <v>Not Eligible</v>
      </c>
      <c r="S125" s="8" t="str">
        <f t="shared" si="9"/>
        <v>True</v>
      </c>
      <c r="T125" s="9">
        <f t="shared" si="10"/>
        <v>4132</v>
      </c>
      <c r="U125" s="10"/>
    </row>
    <row r="126" ht="15.75" customHeight="1">
      <c r="A126" s="4" t="s">
        <v>360</v>
      </c>
      <c r="B126" s="4" t="s">
        <v>361</v>
      </c>
      <c r="C126" s="4" t="s">
        <v>362</v>
      </c>
      <c r="D126" s="4" t="s">
        <v>34</v>
      </c>
      <c r="E126" s="4" t="s">
        <v>71</v>
      </c>
      <c r="F126" s="5">
        <v>45.0</v>
      </c>
      <c r="G126" s="6">
        <v>35174.0</v>
      </c>
      <c r="H126" s="6">
        <v>41586.0</v>
      </c>
      <c r="I126" s="7">
        <v>4167.0</v>
      </c>
      <c r="J126" s="8" t="str">
        <f t="shared" si="1"/>
        <v>Fail</v>
      </c>
      <c r="K126" s="8" t="str">
        <f t="array" ref="K126">IFS(F126&gt;=90,"Excellent",F126&gt;=70,"Good",F126&gt;=50,"Average",F126&lt;50,"Poor")</f>
        <v>Poor</v>
      </c>
      <c r="L126" s="8" t="str">
        <f t="shared" si="2"/>
        <v>HR</v>
      </c>
      <c r="M126" s="8" t="str">
        <f t="shared" si="3"/>
        <v>Stacy Williams</v>
      </c>
      <c r="N126" s="8">
        <f t="shared" si="4"/>
        <v>6</v>
      </c>
      <c r="O126" s="8">
        <f t="shared" si="5"/>
        <v>29</v>
      </c>
      <c r="P126" s="8" t="str">
        <f t="shared" si="6"/>
        <v>November</v>
      </c>
      <c r="Q126" s="8">
        <f t="shared" si="7"/>
        <v>11</v>
      </c>
      <c r="R126" s="8" t="str">
        <f t="shared" si="8"/>
        <v>Eligible</v>
      </c>
      <c r="S126" s="8" t="str">
        <f t="shared" si="9"/>
        <v>False</v>
      </c>
      <c r="T126" s="9">
        <f t="shared" si="10"/>
        <v>2083.5</v>
      </c>
      <c r="U126" s="10"/>
    </row>
    <row r="127" ht="15.75" customHeight="1">
      <c r="A127" s="4" t="s">
        <v>363</v>
      </c>
      <c r="B127" s="4" t="s">
        <v>27</v>
      </c>
      <c r="C127" s="4" t="s">
        <v>364</v>
      </c>
      <c r="D127" s="4" t="s">
        <v>24</v>
      </c>
      <c r="E127" s="4" t="s">
        <v>207</v>
      </c>
      <c r="F127" s="5">
        <v>46.0</v>
      </c>
      <c r="G127" s="6">
        <v>32490.0</v>
      </c>
      <c r="H127" s="6">
        <v>43933.0</v>
      </c>
      <c r="I127" s="7">
        <v>5923.0</v>
      </c>
      <c r="J127" s="8" t="str">
        <f t="shared" si="1"/>
        <v>Fail</v>
      </c>
      <c r="K127" s="8" t="str">
        <f t="array" ref="K127">IFS(F127&gt;=90,"Excellent",F127&gt;=70,"Good",F127&gt;=50,"Average",F127&lt;50,"Poor")</f>
        <v>Poor</v>
      </c>
      <c r="L127" s="8" t="str">
        <f t="shared" si="2"/>
        <v>IT</v>
      </c>
      <c r="M127" s="8" t="str">
        <f t="shared" si="3"/>
        <v>Adam Moss</v>
      </c>
      <c r="N127" s="8">
        <f t="shared" si="4"/>
        <v>6</v>
      </c>
      <c r="O127" s="8">
        <f t="shared" si="5"/>
        <v>36</v>
      </c>
      <c r="P127" s="8" t="str">
        <f t="shared" si="6"/>
        <v>April</v>
      </c>
      <c r="Q127" s="8">
        <f t="shared" si="7"/>
        <v>5</v>
      </c>
      <c r="R127" s="8" t="str">
        <f t="shared" si="8"/>
        <v>Eligible</v>
      </c>
      <c r="S127" s="8" t="str">
        <f t="shared" si="9"/>
        <v>True</v>
      </c>
      <c r="T127" s="9">
        <f t="shared" si="10"/>
        <v>2961.5</v>
      </c>
      <c r="U127" s="10"/>
    </row>
    <row r="128" ht="15.75" customHeight="1">
      <c r="A128" s="4" t="s">
        <v>365</v>
      </c>
      <c r="B128" s="4" t="s">
        <v>366</v>
      </c>
      <c r="C128" s="4" t="s">
        <v>200</v>
      </c>
      <c r="D128" s="4" t="s">
        <v>34</v>
      </c>
      <c r="E128" s="4" t="s">
        <v>35</v>
      </c>
      <c r="F128" s="5">
        <v>79.0</v>
      </c>
      <c r="G128" s="6">
        <v>34073.0</v>
      </c>
      <c r="H128" s="6">
        <v>45905.0</v>
      </c>
      <c r="I128" s="7">
        <v>3442.0</v>
      </c>
      <c r="J128" s="8" t="str">
        <f t="shared" si="1"/>
        <v>Pass</v>
      </c>
      <c r="K128" s="8" t="str">
        <f t="array" ref="K128">IFS(F128&gt;=90,"Excellent",F128&gt;=70,"Good",F128&gt;=50,"Average",F128&lt;50,"Poor")</f>
        <v>Good</v>
      </c>
      <c r="L128" s="8" t="str">
        <f t="shared" si="2"/>
        <v>HR</v>
      </c>
      <c r="M128" s="8" t="str">
        <f t="shared" si="3"/>
        <v>Deborah Phillips</v>
      </c>
      <c r="N128" s="8">
        <f t="shared" si="4"/>
        <v>6</v>
      </c>
      <c r="O128" s="8">
        <f t="shared" si="5"/>
        <v>32</v>
      </c>
      <c r="P128" s="8" t="str">
        <f t="shared" si="6"/>
        <v>September</v>
      </c>
      <c r="Q128" s="8">
        <f t="shared" si="7"/>
        <v>0</v>
      </c>
      <c r="R128" s="8" t="str">
        <f t="shared" si="8"/>
        <v>Not Eligible</v>
      </c>
      <c r="S128" s="8" t="str">
        <f t="shared" si="9"/>
        <v>False</v>
      </c>
      <c r="T128" s="9">
        <f t="shared" si="10"/>
        <v>1721</v>
      </c>
      <c r="U128" s="10"/>
    </row>
    <row r="129" ht="15.75" customHeight="1">
      <c r="A129" s="4" t="s">
        <v>367</v>
      </c>
      <c r="B129" s="4" t="s">
        <v>368</v>
      </c>
      <c r="C129" s="4" t="s">
        <v>369</v>
      </c>
      <c r="D129" s="4" t="s">
        <v>34</v>
      </c>
      <c r="E129" s="4" t="s">
        <v>71</v>
      </c>
      <c r="F129" s="5">
        <v>44.0</v>
      </c>
      <c r="G129" s="6">
        <v>37370.0</v>
      </c>
      <c r="H129" s="6">
        <v>44048.0</v>
      </c>
      <c r="I129" s="7">
        <v>8823.0</v>
      </c>
      <c r="J129" s="8" t="str">
        <f t="shared" si="1"/>
        <v>Fail</v>
      </c>
      <c r="K129" s="8" t="str">
        <f t="array" ref="K129">IFS(F129&gt;=90,"Excellent",F129&gt;=70,"Good",F129&gt;=50,"Average",F129&lt;50,"Poor")</f>
        <v>Poor</v>
      </c>
      <c r="L129" s="8" t="str">
        <f t="shared" si="2"/>
        <v>HR</v>
      </c>
      <c r="M129" s="8" t="str">
        <f t="shared" si="3"/>
        <v>Katelyn Herring</v>
      </c>
      <c r="N129" s="8">
        <f t="shared" si="4"/>
        <v>6</v>
      </c>
      <c r="O129" s="8">
        <f t="shared" si="5"/>
        <v>23</v>
      </c>
      <c r="P129" s="8" t="str">
        <f t="shared" si="6"/>
        <v>August</v>
      </c>
      <c r="Q129" s="8">
        <f t="shared" si="7"/>
        <v>5</v>
      </c>
      <c r="R129" s="8" t="str">
        <f t="shared" si="8"/>
        <v>Not Eligible</v>
      </c>
      <c r="S129" s="8" t="str">
        <f t="shared" si="9"/>
        <v>False</v>
      </c>
      <c r="T129" s="9">
        <f t="shared" si="10"/>
        <v>4411.5</v>
      </c>
      <c r="U129" s="10"/>
    </row>
    <row r="130" ht="15.75" customHeight="1">
      <c r="A130" s="4" t="s">
        <v>370</v>
      </c>
      <c r="B130" s="4" t="s">
        <v>197</v>
      </c>
      <c r="C130" s="4" t="s">
        <v>371</v>
      </c>
      <c r="D130" s="4" t="s">
        <v>46</v>
      </c>
      <c r="E130" s="4" t="s">
        <v>47</v>
      </c>
      <c r="F130" s="5">
        <v>53.0</v>
      </c>
      <c r="G130" s="6">
        <v>33672.0</v>
      </c>
      <c r="H130" s="6">
        <v>44440.0</v>
      </c>
      <c r="I130" s="7">
        <v>5342.0</v>
      </c>
      <c r="J130" s="8" t="str">
        <f t="shared" si="1"/>
        <v>Pass</v>
      </c>
      <c r="K130" s="8" t="str">
        <f t="array" ref="K130">IFS(F130&gt;=90,"Excellent",F130&gt;=70,"Good",F130&gt;=50,"Average",F130&lt;50,"Poor")</f>
        <v>Average</v>
      </c>
      <c r="L130" s="8" t="str">
        <f t="shared" si="2"/>
        <v>Sal</v>
      </c>
      <c r="M130" s="8" t="str">
        <f t="shared" si="3"/>
        <v>Anna Stevens</v>
      </c>
      <c r="N130" s="8">
        <f t="shared" si="4"/>
        <v>6</v>
      </c>
      <c r="O130" s="8">
        <f t="shared" si="5"/>
        <v>33</v>
      </c>
      <c r="P130" s="8" t="str">
        <f t="shared" si="6"/>
        <v>September</v>
      </c>
      <c r="Q130" s="8">
        <f t="shared" si="7"/>
        <v>4</v>
      </c>
      <c r="R130" s="8" t="str">
        <f t="shared" si="8"/>
        <v>Eligible</v>
      </c>
      <c r="S130" s="8" t="str">
        <f t="shared" si="9"/>
        <v>True</v>
      </c>
      <c r="T130" s="9">
        <f t="shared" si="10"/>
        <v>2671</v>
      </c>
      <c r="U130" s="10"/>
    </row>
    <row r="131" ht="15.75" customHeight="1">
      <c r="A131" s="4" t="s">
        <v>372</v>
      </c>
      <c r="B131" s="4" t="s">
        <v>219</v>
      </c>
      <c r="C131" s="4" t="s">
        <v>373</v>
      </c>
      <c r="D131" s="4" t="s">
        <v>46</v>
      </c>
      <c r="E131" s="4" t="s">
        <v>47</v>
      </c>
      <c r="F131" s="5">
        <v>58.0</v>
      </c>
      <c r="G131" s="6">
        <v>33645.0</v>
      </c>
      <c r="H131" s="6">
        <v>41721.0</v>
      </c>
      <c r="I131" s="7">
        <v>3537.0</v>
      </c>
      <c r="J131" s="8" t="str">
        <f t="shared" si="1"/>
        <v>Pass</v>
      </c>
      <c r="K131" s="8" t="str">
        <f t="array" ref="K131">IFS(F131&gt;=90,"Excellent",F131&gt;=70,"Good",F131&gt;=50,"Average",F131&lt;50,"Poor")</f>
        <v>Average</v>
      </c>
      <c r="L131" s="8" t="str">
        <f t="shared" si="2"/>
        <v>Sal</v>
      </c>
      <c r="M131" s="8" t="str">
        <f t="shared" si="3"/>
        <v>Anthony Russo</v>
      </c>
      <c r="N131" s="8">
        <f t="shared" si="4"/>
        <v>6</v>
      </c>
      <c r="O131" s="8">
        <f t="shared" si="5"/>
        <v>33</v>
      </c>
      <c r="P131" s="8" t="str">
        <f t="shared" si="6"/>
        <v>March</v>
      </c>
      <c r="Q131" s="8">
        <f t="shared" si="7"/>
        <v>11</v>
      </c>
      <c r="R131" s="8" t="str">
        <f t="shared" si="8"/>
        <v>Eligible</v>
      </c>
      <c r="S131" s="8" t="str">
        <f t="shared" si="9"/>
        <v>True</v>
      </c>
      <c r="T131" s="9">
        <f t="shared" si="10"/>
        <v>1768.5</v>
      </c>
      <c r="U131" s="10"/>
    </row>
    <row r="132" ht="15.75" customHeight="1">
      <c r="A132" s="4" t="s">
        <v>374</v>
      </c>
      <c r="B132" s="4" t="s">
        <v>141</v>
      </c>
      <c r="C132" s="4" t="s">
        <v>375</v>
      </c>
      <c r="D132" s="4" t="s">
        <v>34</v>
      </c>
      <c r="E132" s="4" t="s">
        <v>35</v>
      </c>
      <c r="F132" s="5">
        <v>86.0</v>
      </c>
      <c r="G132" s="6">
        <v>31604.0</v>
      </c>
      <c r="H132" s="6">
        <v>45715.0</v>
      </c>
      <c r="I132" s="7">
        <v>3812.0</v>
      </c>
      <c r="J132" s="8" t="str">
        <f t="shared" si="1"/>
        <v>Pass</v>
      </c>
      <c r="K132" s="8" t="str">
        <f t="array" ref="K132">IFS(F132&gt;=90,"Excellent",F132&gt;=70,"Good",F132&gt;=50,"Average",F132&lt;50,"Poor")</f>
        <v>Good</v>
      </c>
      <c r="L132" s="8" t="str">
        <f t="shared" si="2"/>
        <v>HR</v>
      </c>
      <c r="M132" s="8" t="str">
        <f t="shared" si="3"/>
        <v>Megan Osborne</v>
      </c>
      <c r="N132" s="8">
        <f t="shared" si="4"/>
        <v>6</v>
      </c>
      <c r="O132" s="8">
        <f t="shared" si="5"/>
        <v>39</v>
      </c>
      <c r="P132" s="8" t="str">
        <f t="shared" si="6"/>
        <v>February</v>
      </c>
      <c r="Q132" s="8">
        <f t="shared" si="7"/>
        <v>0</v>
      </c>
      <c r="R132" s="8" t="str">
        <f t="shared" si="8"/>
        <v>Not Eligible</v>
      </c>
      <c r="S132" s="8" t="str">
        <f t="shared" si="9"/>
        <v>False</v>
      </c>
      <c r="T132" s="9">
        <f t="shared" si="10"/>
        <v>1906</v>
      </c>
      <c r="U132" s="10"/>
    </row>
    <row r="133" ht="15.75" customHeight="1">
      <c r="A133" s="4" t="s">
        <v>376</v>
      </c>
      <c r="B133" s="4" t="s">
        <v>377</v>
      </c>
      <c r="C133" s="4" t="s">
        <v>355</v>
      </c>
      <c r="D133" s="4" t="s">
        <v>34</v>
      </c>
      <c r="E133" s="4" t="s">
        <v>71</v>
      </c>
      <c r="F133" s="5">
        <v>86.0</v>
      </c>
      <c r="G133" s="6">
        <v>34151.0</v>
      </c>
      <c r="H133" s="6">
        <v>42646.0</v>
      </c>
      <c r="I133" s="7">
        <v>5005.0</v>
      </c>
      <c r="J133" s="8" t="str">
        <f t="shared" si="1"/>
        <v>Pass</v>
      </c>
      <c r="K133" s="8" t="str">
        <f t="array" ref="K133">IFS(F133&gt;=90,"Excellent",F133&gt;=70,"Good",F133&gt;=50,"Average",F133&lt;50,"Poor")</f>
        <v>Good</v>
      </c>
      <c r="L133" s="8" t="str">
        <f t="shared" si="2"/>
        <v>HR</v>
      </c>
      <c r="M133" s="8" t="str">
        <f t="shared" si="3"/>
        <v>Timothy Cox</v>
      </c>
      <c r="N133" s="8">
        <f t="shared" si="4"/>
        <v>6</v>
      </c>
      <c r="O133" s="8">
        <f t="shared" si="5"/>
        <v>32</v>
      </c>
      <c r="P133" s="8" t="str">
        <f t="shared" si="6"/>
        <v>October</v>
      </c>
      <c r="Q133" s="8">
        <f t="shared" si="7"/>
        <v>9</v>
      </c>
      <c r="R133" s="8" t="str">
        <f t="shared" si="8"/>
        <v>Eligible</v>
      </c>
      <c r="S133" s="8" t="str">
        <f t="shared" si="9"/>
        <v>False</v>
      </c>
      <c r="T133" s="9">
        <f t="shared" si="10"/>
        <v>2502.5</v>
      </c>
      <c r="U133" s="10"/>
    </row>
    <row r="134" ht="15.75" customHeight="1">
      <c r="A134" s="4" t="s">
        <v>378</v>
      </c>
      <c r="B134" s="4" t="s">
        <v>121</v>
      </c>
      <c r="C134" s="4" t="s">
        <v>97</v>
      </c>
      <c r="D134" s="4" t="s">
        <v>34</v>
      </c>
      <c r="E134" s="4" t="s">
        <v>35</v>
      </c>
      <c r="F134" s="5">
        <v>80.0</v>
      </c>
      <c r="G134" s="6">
        <v>34830.0</v>
      </c>
      <c r="H134" s="6">
        <v>44144.0</v>
      </c>
      <c r="I134" s="7">
        <v>9028.0</v>
      </c>
      <c r="J134" s="8" t="str">
        <f t="shared" si="1"/>
        <v>Pass</v>
      </c>
      <c r="K134" s="8" t="str">
        <f t="array" ref="K134">IFS(F134&gt;=90,"Excellent",F134&gt;=70,"Good",F134&gt;=50,"Average",F134&lt;50,"Poor")</f>
        <v>Good</v>
      </c>
      <c r="L134" s="8" t="str">
        <f t="shared" si="2"/>
        <v>HR</v>
      </c>
      <c r="M134" s="8" t="str">
        <f t="shared" si="3"/>
        <v>Paul Whitehead</v>
      </c>
      <c r="N134" s="8">
        <f t="shared" si="4"/>
        <v>6</v>
      </c>
      <c r="O134" s="8">
        <f t="shared" si="5"/>
        <v>30</v>
      </c>
      <c r="P134" s="8" t="str">
        <f t="shared" si="6"/>
        <v>November</v>
      </c>
      <c r="Q134" s="8">
        <f t="shared" si="7"/>
        <v>4</v>
      </c>
      <c r="R134" s="8" t="str">
        <f t="shared" si="8"/>
        <v>Eligible</v>
      </c>
      <c r="S134" s="8" t="str">
        <f t="shared" si="9"/>
        <v>False</v>
      </c>
      <c r="T134" s="9">
        <f t="shared" si="10"/>
        <v>4514</v>
      </c>
      <c r="U134" s="10"/>
    </row>
    <row r="135" ht="15.75" customHeight="1">
      <c r="A135" s="4" t="s">
        <v>379</v>
      </c>
      <c r="B135" s="4" t="s">
        <v>55</v>
      </c>
      <c r="C135" s="4" t="s">
        <v>203</v>
      </c>
      <c r="D135" s="4" t="s">
        <v>29</v>
      </c>
      <c r="E135" s="4" t="s">
        <v>30</v>
      </c>
      <c r="F135" s="5">
        <v>57.0</v>
      </c>
      <c r="G135" s="6">
        <v>32388.0</v>
      </c>
      <c r="H135" s="6">
        <v>42505.0</v>
      </c>
      <c r="I135" s="7">
        <v>5597.0</v>
      </c>
      <c r="J135" s="8" t="str">
        <f t="shared" si="1"/>
        <v>Pass</v>
      </c>
      <c r="K135" s="8" t="str">
        <f t="array" ref="K135">IFS(F135&gt;=90,"Excellent",F135&gt;=70,"Good",F135&gt;=50,"Average",F135&lt;50,"Poor")</f>
        <v>Average</v>
      </c>
      <c r="L135" s="8" t="str">
        <f t="shared" si="2"/>
        <v>Fin</v>
      </c>
      <c r="M135" s="8" t="str">
        <f t="shared" si="3"/>
        <v>Mary Parker</v>
      </c>
      <c r="N135" s="8">
        <f t="shared" si="4"/>
        <v>6</v>
      </c>
      <c r="O135" s="8">
        <f t="shared" si="5"/>
        <v>37</v>
      </c>
      <c r="P135" s="8" t="str">
        <f t="shared" si="6"/>
        <v>May</v>
      </c>
      <c r="Q135" s="8">
        <f t="shared" si="7"/>
        <v>9</v>
      </c>
      <c r="R135" s="8" t="str">
        <f t="shared" si="8"/>
        <v>Eligible</v>
      </c>
      <c r="S135" s="8" t="str">
        <f t="shared" si="9"/>
        <v>False</v>
      </c>
      <c r="T135" s="9">
        <f t="shared" si="10"/>
        <v>2798.5</v>
      </c>
      <c r="U135" s="10"/>
    </row>
    <row r="136" ht="15.75" customHeight="1">
      <c r="A136" s="4" t="s">
        <v>380</v>
      </c>
      <c r="B136" s="4" t="s">
        <v>381</v>
      </c>
      <c r="C136" s="4" t="s">
        <v>382</v>
      </c>
      <c r="D136" s="4" t="s">
        <v>46</v>
      </c>
      <c r="E136" s="4" t="s">
        <v>53</v>
      </c>
      <c r="F136" s="5">
        <v>69.0</v>
      </c>
      <c r="G136" s="6">
        <v>37546.0</v>
      </c>
      <c r="H136" s="6">
        <v>43641.0</v>
      </c>
      <c r="I136" s="7">
        <v>8549.0</v>
      </c>
      <c r="J136" s="8" t="str">
        <f t="shared" si="1"/>
        <v>Pass</v>
      </c>
      <c r="K136" s="8" t="str">
        <f t="array" ref="K136">IFS(F136&gt;=90,"Excellent",F136&gt;=70,"Good",F136&gt;=50,"Average",F136&lt;50,"Poor")</f>
        <v>Average</v>
      </c>
      <c r="L136" s="8" t="str">
        <f t="shared" si="2"/>
        <v>Sal</v>
      </c>
      <c r="M136" s="8" t="str">
        <f t="shared" si="3"/>
        <v>Ashley Walls</v>
      </c>
      <c r="N136" s="8">
        <f t="shared" si="4"/>
        <v>6</v>
      </c>
      <c r="O136" s="8">
        <f t="shared" si="5"/>
        <v>23</v>
      </c>
      <c r="P136" s="8" t="str">
        <f t="shared" si="6"/>
        <v>June</v>
      </c>
      <c r="Q136" s="8">
        <f t="shared" si="7"/>
        <v>6</v>
      </c>
      <c r="R136" s="8" t="str">
        <f t="shared" si="8"/>
        <v>Not Eligible</v>
      </c>
      <c r="S136" s="8" t="str">
        <f t="shared" si="9"/>
        <v>True</v>
      </c>
      <c r="T136" s="9">
        <f t="shared" si="10"/>
        <v>4274.5</v>
      </c>
      <c r="U136" s="10"/>
    </row>
    <row r="137" ht="15.75" customHeight="1">
      <c r="A137" s="4" t="s">
        <v>383</v>
      </c>
      <c r="B137" s="4" t="s">
        <v>384</v>
      </c>
      <c r="C137" s="4" t="s">
        <v>271</v>
      </c>
      <c r="D137" s="4" t="s">
        <v>29</v>
      </c>
      <c r="E137" s="4" t="s">
        <v>30</v>
      </c>
      <c r="F137" s="5">
        <v>73.0</v>
      </c>
      <c r="G137" s="6">
        <v>35058.0</v>
      </c>
      <c r="H137" s="6">
        <v>44666.0</v>
      </c>
      <c r="I137" s="7">
        <v>6365.0</v>
      </c>
      <c r="J137" s="8" t="str">
        <f t="shared" si="1"/>
        <v>Pass</v>
      </c>
      <c r="K137" s="8" t="str">
        <f t="array" ref="K137">IFS(F137&gt;=90,"Excellent",F137&gt;=70,"Good",F137&gt;=50,"Average",F137&lt;50,"Poor")</f>
        <v>Good</v>
      </c>
      <c r="L137" s="8" t="str">
        <f t="shared" si="2"/>
        <v>Fin</v>
      </c>
      <c r="M137" s="8" t="str">
        <f t="shared" si="3"/>
        <v>Deanna Lopez</v>
      </c>
      <c r="N137" s="8">
        <f t="shared" si="4"/>
        <v>6</v>
      </c>
      <c r="O137" s="8">
        <f t="shared" si="5"/>
        <v>29</v>
      </c>
      <c r="P137" s="8" t="str">
        <f t="shared" si="6"/>
        <v>April</v>
      </c>
      <c r="Q137" s="8">
        <f t="shared" si="7"/>
        <v>3</v>
      </c>
      <c r="R137" s="8" t="str">
        <f t="shared" si="8"/>
        <v>Eligible</v>
      </c>
      <c r="S137" s="8" t="str">
        <f t="shared" si="9"/>
        <v>False</v>
      </c>
      <c r="T137" s="9">
        <f t="shared" si="10"/>
        <v>3182.5</v>
      </c>
      <c r="U137" s="10"/>
    </row>
    <row r="138" ht="15.75" customHeight="1">
      <c r="A138" s="4" t="s">
        <v>385</v>
      </c>
      <c r="B138" s="4" t="s">
        <v>205</v>
      </c>
      <c r="C138" s="4" t="s">
        <v>56</v>
      </c>
      <c r="D138" s="4" t="s">
        <v>75</v>
      </c>
      <c r="E138" s="4" t="s">
        <v>85</v>
      </c>
      <c r="F138" s="5">
        <v>32.0</v>
      </c>
      <c r="G138" s="6">
        <v>36779.0</v>
      </c>
      <c r="H138" s="6">
        <v>41381.0</v>
      </c>
      <c r="I138" s="7">
        <v>7810.0</v>
      </c>
      <c r="J138" s="8" t="str">
        <f t="shared" si="1"/>
        <v>Fail</v>
      </c>
      <c r="K138" s="8" t="str">
        <f t="array" ref="K138">IFS(F138&gt;=90,"Excellent",F138&gt;=70,"Good",F138&gt;=50,"Average",F138&lt;50,"Poor")</f>
        <v>Poor</v>
      </c>
      <c r="L138" s="8" t="str">
        <f t="shared" si="2"/>
        <v>Mar</v>
      </c>
      <c r="M138" s="8" t="str">
        <f t="shared" si="3"/>
        <v>Joshua Torres</v>
      </c>
      <c r="N138" s="8">
        <f t="shared" si="4"/>
        <v>6</v>
      </c>
      <c r="O138" s="8">
        <f t="shared" si="5"/>
        <v>25</v>
      </c>
      <c r="P138" s="8" t="str">
        <f t="shared" si="6"/>
        <v>April</v>
      </c>
      <c r="Q138" s="8">
        <f t="shared" si="7"/>
        <v>12</v>
      </c>
      <c r="R138" s="8" t="str">
        <f t="shared" si="8"/>
        <v>Not Eligible</v>
      </c>
      <c r="S138" s="8" t="str">
        <f t="shared" si="9"/>
        <v>False</v>
      </c>
      <c r="T138" s="9">
        <f t="shared" si="10"/>
        <v>3905</v>
      </c>
      <c r="U138" s="10"/>
    </row>
    <row r="139" ht="15.75" customHeight="1">
      <c r="A139" s="4" t="s">
        <v>386</v>
      </c>
      <c r="B139" s="4" t="s">
        <v>387</v>
      </c>
      <c r="C139" s="4" t="s">
        <v>388</v>
      </c>
      <c r="D139" s="4" t="s">
        <v>29</v>
      </c>
      <c r="E139" s="4" t="s">
        <v>39</v>
      </c>
      <c r="F139" s="5">
        <v>59.0</v>
      </c>
      <c r="G139" s="6">
        <v>34181.0</v>
      </c>
      <c r="H139" s="6">
        <v>45281.0</v>
      </c>
      <c r="I139" s="7">
        <v>7110.0</v>
      </c>
      <c r="J139" s="8" t="str">
        <f t="shared" si="1"/>
        <v>Pass</v>
      </c>
      <c r="K139" s="8" t="str">
        <f t="array" ref="K139">IFS(F139&gt;=90,"Excellent",F139&gt;=70,"Good",F139&gt;=50,"Average",F139&lt;50,"Poor")</f>
        <v>Average</v>
      </c>
      <c r="L139" s="8" t="str">
        <f t="shared" si="2"/>
        <v>Fin</v>
      </c>
      <c r="M139" s="8" t="str">
        <f t="shared" si="3"/>
        <v>William Coleman</v>
      </c>
      <c r="N139" s="8">
        <f t="shared" si="4"/>
        <v>6</v>
      </c>
      <c r="O139" s="8">
        <f t="shared" si="5"/>
        <v>32</v>
      </c>
      <c r="P139" s="8" t="str">
        <f t="shared" si="6"/>
        <v>December</v>
      </c>
      <c r="Q139" s="8">
        <f t="shared" si="7"/>
        <v>1</v>
      </c>
      <c r="R139" s="8" t="str">
        <f t="shared" si="8"/>
        <v>Not Eligible</v>
      </c>
      <c r="S139" s="8" t="str">
        <f t="shared" si="9"/>
        <v>False</v>
      </c>
      <c r="T139" s="9">
        <f t="shared" si="10"/>
        <v>3555</v>
      </c>
      <c r="U139" s="10"/>
    </row>
    <row r="140" ht="15.75" customHeight="1">
      <c r="A140" s="4" t="s">
        <v>389</v>
      </c>
      <c r="B140" s="4" t="s">
        <v>390</v>
      </c>
      <c r="C140" s="4" t="s">
        <v>391</v>
      </c>
      <c r="D140" s="4" t="s">
        <v>75</v>
      </c>
      <c r="E140" s="4" t="s">
        <v>76</v>
      </c>
      <c r="F140" s="5">
        <v>88.0</v>
      </c>
      <c r="G140" s="6">
        <v>36457.0</v>
      </c>
      <c r="H140" s="6">
        <v>43711.0</v>
      </c>
      <c r="I140" s="7">
        <v>7411.0</v>
      </c>
      <c r="J140" s="8" t="str">
        <f t="shared" si="1"/>
        <v>Pass</v>
      </c>
      <c r="K140" s="8" t="str">
        <f t="array" ref="K140">IFS(F140&gt;=90,"Excellent",F140&gt;=70,"Good",F140&gt;=50,"Average",F140&lt;50,"Poor")</f>
        <v>Good</v>
      </c>
      <c r="L140" s="8" t="str">
        <f t="shared" si="2"/>
        <v>Mar</v>
      </c>
      <c r="M140" s="8" t="str">
        <f t="shared" si="3"/>
        <v>Carly Guerra</v>
      </c>
      <c r="N140" s="8">
        <f t="shared" si="4"/>
        <v>6</v>
      </c>
      <c r="O140" s="8">
        <f t="shared" si="5"/>
        <v>26</v>
      </c>
      <c r="P140" s="8" t="str">
        <f t="shared" si="6"/>
        <v>September</v>
      </c>
      <c r="Q140" s="8">
        <f t="shared" si="7"/>
        <v>6</v>
      </c>
      <c r="R140" s="8" t="str">
        <f t="shared" si="8"/>
        <v>Eligible</v>
      </c>
      <c r="S140" s="8" t="str">
        <f t="shared" si="9"/>
        <v>False</v>
      </c>
      <c r="T140" s="9">
        <f t="shared" si="10"/>
        <v>3705.5</v>
      </c>
      <c r="U140" s="10"/>
    </row>
    <row r="141" ht="15.75" customHeight="1">
      <c r="A141" s="4" t="s">
        <v>392</v>
      </c>
      <c r="B141" s="4" t="s">
        <v>393</v>
      </c>
      <c r="C141" s="4" t="s">
        <v>362</v>
      </c>
      <c r="D141" s="4" t="s">
        <v>29</v>
      </c>
      <c r="E141" s="4" t="s">
        <v>30</v>
      </c>
      <c r="F141" s="5">
        <v>39.0</v>
      </c>
      <c r="G141" s="6">
        <v>33522.0</v>
      </c>
      <c r="H141" s="6">
        <v>42838.0</v>
      </c>
      <c r="I141" s="7">
        <v>9430.0</v>
      </c>
      <c r="J141" s="8" t="str">
        <f t="shared" si="1"/>
        <v>Fail</v>
      </c>
      <c r="K141" s="8" t="str">
        <f t="array" ref="K141">IFS(F141&gt;=90,"Excellent",F141&gt;=70,"Good",F141&gt;=50,"Average",F141&lt;50,"Poor")</f>
        <v>Poor</v>
      </c>
      <c r="L141" s="8" t="str">
        <f t="shared" si="2"/>
        <v>Fin</v>
      </c>
      <c r="M141" s="8" t="str">
        <f t="shared" si="3"/>
        <v>Jerry Williams</v>
      </c>
      <c r="N141" s="8">
        <f t="shared" si="4"/>
        <v>6</v>
      </c>
      <c r="O141" s="8">
        <f t="shared" si="5"/>
        <v>34</v>
      </c>
      <c r="P141" s="8" t="str">
        <f t="shared" si="6"/>
        <v>April</v>
      </c>
      <c r="Q141" s="8">
        <f t="shared" si="7"/>
        <v>8</v>
      </c>
      <c r="R141" s="8" t="str">
        <f t="shared" si="8"/>
        <v>Eligible</v>
      </c>
      <c r="S141" s="8" t="str">
        <f t="shared" si="9"/>
        <v>False</v>
      </c>
      <c r="T141" s="9">
        <f t="shared" si="10"/>
        <v>4715</v>
      </c>
      <c r="U141" s="10"/>
    </row>
    <row r="142" ht="15.75" customHeight="1">
      <c r="A142" s="4" t="s">
        <v>394</v>
      </c>
      <c r="B142" s="4" t="s">
        <v>304</v>
      </c>
      <c r="C142" s="4" t="s">
        <v>395</v>
      </c>
      <c r="D142" s="4" t="s">
        <v>24</v>
      </c>
      <c r="E142" s="4" t="s">
        <v>89</v>
      </c>
      <c r="F142" s="5">
        <v>34.0</v>
      </c>
      <c r="G142" s="6">
        <v>36973.0</v>
      </c>
      <c r="H142" s="6">
        <v>44579.0</v>
      </c>
      <c r="I142" s="7">
        <v>3069.0</v>
      </c>
      <c r="J142" s="8" t="str">
        <f t="shared" si="1"/>
        <v>Fail</v>
      </c>
      <c r="K142" s="8" t="str">
        <f t="array" ref="K142">IFS(F142&gt;=90,"Excellent",F142&gt;=70,"Good",F142&gt;=50,"Average",F142&lt;50,"Poor")</f>
        <v>Poor</v>
      </c>
      <c r="L142" s="8" t="str">
        <f t="shared" si="2"/>
        <v>IT</v>
      </c>
      <c r="M142" s="8" t="str">
        <f t="shared" si="3"/>
        <v>Tyler Morales</v>
      </c>
      <c r="N142" s="8">
        <f t="shared" si="4"/>
        <v>6</v>
      </c>
      <c r="O142" s="8">
        <f t="shared" si="5"/>
        <v>24</v>
      </c>
      <c r="P142" s="8" t="str">
        <f t="shared" si="6"/>
        <v>January</v>
      </c>
      <c r="Q142" s="8">
        <f t="shared" si="7"/>
        <v>3</v>
      </c>
      <c r="R142" s="8" t="str">
        <f t="shared" si="8"/>
        <v>Not Eligible</v>
      </c>
      <c r="S142" s="8" t="str">
        <f t="shared" si="9"/>
        <v>True</v>
      </c>
      <c r="T142" s="9">
        <f t="shared" si="10"/>
        <v>1534.5</v>
      </c>
      <c r="U142" s="10"/>
    </row>
    <row r="143" ht="15.75" customHeight="1">
      <c r="A143" s="4" t="s">
        <v>396</v>
      </c>
      <c r="B143" s="4" t="s">
        <v>124</v>
      </c>
      <c r="C143" s="4" t="s">
        <v>397</v>
      </c>
      <c r="D143" s="4" t="s">
        <v>34</v>
      </c>
      <c r="E143" s="4" t="s">
        <v>35</v>
      </c>
      <c r="F143" s="5">
        <v>69.0</v>
      </c>
      <c r="G143" s="6">
        <v>37189.0</v>
      </c>
      <c r="H143" s="6">
        <v>45042.0</v>
      </c>
      <c r="I143" s="7">
        <v>4990.0</v>
      </c>
      <c r="J143" s="8" t="str">
        <f t="shared" si="1"/>
        <v>Pass</v>
      </c>
      <c r="K143" s="8" t="str">
        <f t="array" ref="K143">IFS(F143&gt;=90,"Excellent",F143&gt;=70,"Good",F143&gt;=50,"Average",F143&lt;50,"Poor")</f>
        <v>Average</v>
      </c>
      <c r="L143" s="8" t="str">
        <f t="shared" si="2"/>
        <v>HR</v>
      </c>
      <c r="M143" s="8" t="str">
        <f t="shared" si="3"/>
        <v>Charles Carpenter</v>
      </c>
      <c r="N143" s="8">
        <f t="shared" si="4"/>
        <v>6</v>
      </c>
      <c r="O143" s="8">
        <f t="shared" si="5"/>
        <v>24</v>
      </c>
      <c r="P143" s="8" t="str">
        <f t="shared" si="6"/>
        <v>April</v>
      </c>
      <c r="Q143" s="8">
        <f t="shared" si="7"/>
        <v>2</v>
      </c>
      <c r="R143" s="8" t="str">
        <f t="shared" si="8"/>
        <v>Not Eligible</v>
      </c>
      <c r="S143" s="8" t="str">
        <f t="shared" si="9"/>
        <v>False</v>
      </c>
      <c r="T143" s="9">
        <f t="shared" si="10"/>
        <v>2495</v>
      </c>
      <c r="U143" s="10"/>
    </row>
    <row r="144" ht="15.75" customHeight="1">
      <c r="A144" s="4" t="s">
        <v>398</v>
      </c>
      <c r="B144" s="4" t="s">
        <v>399</v>
      </c>
      <c r="C144" s="4" t="s">
        <v>235</v>
      </c>
      <c r="D144" s="4" t="s">
        <v>46</v>
      </c>
      <c r="E144" s="4" t="s">
        <v>217</v>
      </c>
      <c r="F144" s="5">
        <v>52.0</v>
      </c>
      <c r="G144" s="6">
        <v>37364.0</v>
      </c>
      <c r="H144" s="6">
        <v>41941.0</v>
      </c>
      <c r="I144" s="7">
        <v>3230.0</v>
      </c>
      <c r="J144" s="8" t="str">
        <f t="shared" si="1"/>
        <v>Pass</v>
      </c>
      <c r="K144" s="8" t="str">
        <f t="array" ref="K144">IFS(F144&gt;=90,"Excellent",F144&gt;=70,"Good",F144&gt;=50,"Average",F144&lt;50,"Poor")</f>
        <v>Average</v>
      </c>
      <c r="L144" s="8" t="str">
        <f t="shared" si="2"/>
        <v>Sal</v>
      </c>
      <c r="M144" s="8" t="str">
        <f t="shared" si="3"/>
        <v>Lauren Jones</v>
      </c>
      <c r="N144" s="8">
        <f t="shared" si="4"/>
        <v>6</v>
      </c>
      <c r="O144" s="8">
        <f t="shared" si="5"/>
        <v>23</v>
      </c>
      <c r="P144" s="8" t="str">
        <f t="shared" si="6"/>
        <v>October</v>
      </c>
      <c r="Q144" s="8">
        <f t="shared" si="7"/>
        <v>11</v>
      </c>
      <c r="R144" s="8" t="str">
        <f t="shared" si="8"/>
        <v>Not Eligible</v>
      </c>
      <c r="S144" s="8" t="str">
        <f t="shared" si="9"/>
        <v>True</v>
      </c>
      <c r="T144" s="9">
        <f t="shared" si="10"/>
        <v>1615</v>
      </c>
      <c r="U144" s="10"/>
    </row>
    <row r="145" ht="15.75" customHeight="1">
      <c r="A145" s="4" t="s">
        <v>400</v>
      </c>
      <c r="B145" s="4" t="s">
        <v>401</v>
      </c>
      <c r="C145" s="4" t="s">
        <v>402</v>
      </c>
      <c r="D145" s="4" t="s">
        <v>34</v>
      </c>
      <c r="E145" s="4" t="s">
        <v>35</v>
      </c>
      <c r="F145" s="5">
        <v>48.0</v>
      </c>
      <c r="G145" s="6">
        <v>36280.0</v>
      </c>
      <c r="H145" s="6">
        <v>43278.0</v>
      </c>
      <c r="I145" s="7">
        <v>6831.0</v>
      </c>
      <c r="J145" s="8" t="str">
        <f t="shared" si="1"/>
        <v>Fail</v>
      </c>
      <c r="K145" s="8" t="str">
        <f t="array" ref="K145">IFS(F145&gt;=90,"Excellent",F145&gt;=70,"Good",F145&gt;=50,"Average",F145&lt;50,"Poor")</f>
        <v>Poor</v>
      </c>
      <c r="L145" s="8" t="str">
        <f t="shared" si="2"/>
        <v>HR</v>
      </c>
      <c r="M145" s="8" t="str">
        <f t="shared" si="3"/>
        <v>Taylor Gould</v>
      </c>
      <c r="N145" s="8">
        <f t="shared" si="4"/>
        <v>6</v>
      </c>
      <c r="O145" s="8">
        <f t="shared" si="5"/>
        <v>26</v>
      </c>
      <c r="P145" s="8" t="str">
        <f t="shared" si="6"/>
        <v>June</v>
      </c>
      <c r="Q145" s="8">
        <f t="shared" si="7"/>
        <v>7</v>
      </c>
      <c r="R145" s="8" t="str">
        <f t="shared" si="8"/>
        <v>Eligible</v>
      </c>
      <c r="S145" s="8" t="str">
        <f t="shared" si="9"/>
        <v>False</v>
      </c>
      <c r="T145" s="9">
        <f t="shared" si="10"/>
        <v>3415.5</v>
      </c>
      <c r="U145" s="10"/>
    </row>
    <row r="146" ht="15.75" customHeight="1">
      <c r="A146" s="4" t="s">
        <v>403</v>
      </c>
      <c r="B146" s="4" t="s">
        <v>67</v>
      </c>
      <c r="C146" s="4" t="s">
        <v>404</v>
      </c>
      <c r="D146" s="4" t="s">
        <v>24</v>
      </c>
      <c r="E146" s="4" t="s">
        <v>25</v>
      </c>
      <c r="F146" s="5">
        <v>41.0</v>
      </c>
      <c r="G146" s="6">
        <v>31142.0</v>
      </c>
      <c r="H146" s="6">
        <v>43550.0</v>
      </c>
      <c r="I146" s="7">
        <v>6116.0</v>
      </c>
      <c r="J146" s="8" t="str">
        <f t="shared" si="1"/>
        <v>Fail</v>
      </c>
      <c r="K146" s="8" t="str">
        <f t="array" ref="K146">IFS(F146&gt;=90,"Excellent",F146&gt;=70,"Good",F146&gt;=50,"Average",F146&lt;50,"Poor")</f>
        <v>Poor</v>
      </c>
      <c r="L146" s="8" t="str">
        <f t="shared" si="2"/>
        <v>IT</v>
      </c>
      <c r="M146" s="8" t="str">
        <f t="shared" si="3"/>
        <v>Whitney Turner</v>
      </c>
      <c r="N146" s="8">
        <f t="shared" si="4"/>
        <v>6</v>
      </c>
      <c r="O146" s="8">
        <f t="shared" si="5"/>
        <v>40</v>
      </c>
      <c r="P146" s="8" t="str">
        <f t="shared" si="6"/>
        <v>March</v>
      </c>
      <c r="Q146" s="8">
        <f t="shared" si="7"/>
        <v>6</v>
      </c>
      <c r="R146" s="8" t="str">
        <f t="shared" si="8"/>
        <v>Eligible</v>
      </c>
      <c r="S146" s="8" t="str">
        <f t="shared" si="9"/>
        <v>True</v>
      </c>
      <c r="T146" s="9">
        <f t="shared" si="10"/>
        <v>3058</v>
      </c>
      <c r="U146" s="10"/>
    </row>
    <row r="147" ht="15.75" customHeight="1">
      <c r="A147" s="4" t="s">
        <v>405</v>
      </c>
      <c r="B147" s="4" t="s">
        <v>406</v>
      </c>
      <c r="C147" s="4" t="s">
        <v>206</v>
      </c>
      <c r="D147" s="4" t="s">
        <v>46</v>
      </c>
      <c r="E147" s="4" t="s">
        <v>53</v>
      </c>
      <c r="F147" s="5">
        <v>31.0</v>
      </c>
      <c r="G147" s="6">
        <v>38132.0</v>
      </c>
      <c r="H147" s="6">
        <v>43676.0</v>
      </c>
      <c r="I147" s="7">
        <v>5530.0</v>
      </c>
      <c r="J147" s="8" t="str">
        <f t="shared" si="1"/>
        <v>Fail</v>
      </c>
      <c r="K147" s="8" t="str">
        <f t="array" ref="K147">IFS(F147&gt;=90,"Excellent",F147&gt;=70,"Good",F147&gt;=50,"Average",F147&lt;50,"Poor")</f>
        <v>Poor</v>
      </c>
      <c r="L147" s="8" t="str">
        <f t="shared" si="2"/>
        <v>Sal</v>
      </c>
      <c r="M147" s="8" t="str">
        <f t="shared" si="3"/>
        <v>Tony Holt</v>
      </c>
      <c r="N147" s="8">
        <f t="shared" si="4"/>
        <v>6</v>
      </c>
      <c r="O147" s="8">
        <f t="shared" si="5"/>
        <v>21</v>
      </c>
      <c r="P147" s="8" t="str">
        <f t="shared" si="6"/>
        <v>July</v>
      </c>
      <c r="Q147" s="8">
        <f t="shared" si="7"/>
        <v>6</v>
      </c>
      <c r="R147" s="8" t="str">
        <f t="shared" si="8"/>
        <v>Not Eligible</v>
      </c>
      <c r="S147" s="8" t="str">
        <f t="shared" si="9"/>
        <v>True</v>
      </c>
      <c r="T147" s="9">
        <f t="shared" si="10"/>
        <v>2765</v>
      </c>
      <c r="U147" s="10"/>
    </row>
    <row r="148" ht="15.75" customHeight="1">
      <c r="A148" s="4" t="s">
        <v>407</v>
      </c>
      <c r="B148" s="4" t="s">
        <v>58</v>
      </c>
      <c r="C148" s="4" t="s">
        <v>408</v>
      </c>
      <c r="D148" s="4" t="s">
        <v>29</v>
      </c>
      <c r="E148" s="4" t="s">
        <v>39</v>
      </c>
      <c r="F148" s="5">
        <v>76.0</v>
      </c>
      <c r="G148" s="6">
        <v>31461.0</v>
      </c>
      <c r="H148" s="6">
        <v>42589.0</v>
      </c>
      <c r="I148" s="7">
        <v>6894.0</v>
      </c>
      <c r="J148" s="8" t="str">
        <f t="shared" si="1"/>
        <v>Pass</v>
      </c>
      <c r="K148" s="8" t="str">
        <f t="array" ref="K148">IFS(F148&gt;=90,"Excellent",F148&gt;=70,"Good",F148&gt;=50,"Average",F148&lt;50,"Poor")</f>
        <v>Good</v>
      </c>
      <c r="L148" s="8" t="str">
        <f t="shared" si="2"/>
        <v>Fin</v>
      </c>
      <c r="M148" s="8" t="str">
        <f t="shared" si="3"/>
        <v>David Mcneil</v>
      </c>
      <c r="N148" s="8">
        <f t="shared" si="4"/>
        <v>6</v>
      </c>
      <c r="O148" s="8">
        <f t="shared" si="5"/>
        <v>39</v>
      </c>
      <c r="P148" s="8" t="str">
        <f t="shared" si="6"/>
        <v>August</v>
      </c>
      <c r="Q148" s="8">
        <f t="shared" si="7"/>
        <v>9</v>
      </c>
      <c r="R148" s="8" t="str">
        <f t="shared" si="8"/>
        <v>Eligible</v>
      </c>
      <c r="S148" s="8" t="str">
        <f t="shared" si="9"/>
        <v>False</v>
      </c>
      <c r="T148" s="9">
        <f t="shared" si="10"/>
        <v>3447</v>
      </c>
      <c r="U148" s="10"/>
    </row>
    <row r="149" ht="15.75" customHeight="1">
      <c r="A149" s="4" t="s">
        <v>409</v>
      </c>
      <c r="B149" s="4" t="s">
        <v>410</v>
      </c>
      <c r="C149" s="4" t="s">
        <v>411</v>
      </c>
      <c r="D149" s="4" t="s">
        <v>75</v>
      </c>
      <c r="E149" s="4" t="s">
        <v>76</v>
      </c>
      <c r="F149" s="5">
        <v>85.0</v>
      </c>
      <c r="G149" s="6">
        <v>33921.0</v>
      </c>
      <c r="H149" s="6">
        <v>44094.0</v>
      </c>
      <c r="I149" s="7">
        <v>6135.0</v>
      </c>
      <c r="J149" s="8" t="str">
        <f t="shared" si="1"/>
        <v>Pass</v>
      </c>
      <c r="K149" s="8" t="str">
        <f t="array" ref="K149">IFS(F149&gt;=90,"Excellent",F149&gt;=70,"Good",F149&gt;=50,"Average",F149&lt;50,"Poor")</f>
        <v>Good</v>
      </c>
      <c r="L149" s="8" t="str">
        <f t="shared" si="2"/>
        <v>Mar</v>
      </c>
      <c r="M149" s="8" t="str">
        <f t="shared" si="3"/>
        <v>Alison Gonzalez</v>
      </c>
      <c r="N149" s="8">
        <f t="shared" si="4"/>
        <v>6</v>
      </c>
      <c r="O149" s="8">
        <f t="shared" si="5"/>
        <v>32</v>
      </c>
      <c r="P149" s="8" t="str">
        <f t="shared" si="6"/>
        <v>September</v>
      </c>
      <c r="Q149" s="8">
        <f t="shared" si="7"/>
        <v>5</v>
      </c>
      <c r="R149" s="8" t="str">
        <f t="shared" si="8"/>
        <v>Eligible</v>
      </c>
      <c r="S149" s="8" t="str">
        <f t="shared" si="9"/>
        <v>False</v>
      </c>
      <c r="T149" s="9">
        <f t="shared" si="10"/>
        <v>3067.5</v>
      </c>
      <c r="U149" s="10"/>
    </row>
    <row r="150" ht="15.75" customHeight="1">
      <c r="A150" s="4" t="s">
        <v>412</v>
      </c>
      <c r="B150" s="4" t="s">
        <v>313</v>
      </c>
      <c r="C150" s="4" t="s">
        <v>413</v>
      </c>
      <c r="D150" s="4" t="s">
        <v>29</v>
      </c>
      <c r="E150" s="4" t="s">
        <v>39</v>
      </c>
      <c r="F150" s="5">
        <v>47.0</v>
      </c>
      <c r="G150" s="6">
        <v>32835.0</v>
      </c>
      <c r="H150" s="6">
        <v>44753.0</v>
      </c>
      <c r="I150" s="7">
        <v>8654.0</v>
      </c>
      <c r="J150" s="8" t="str">
        <f t="shared" si="1"/>
        <v>Fail</v>
      </c>
      <c r="K150" s="8" t="str">
        <f t="array" ref="K150">IFS(F150&gt;=90,"Excellent",F150&gt;=70,"Good",F150&gt;=50,"Average",F150&lt;50,"Poor")</f>
        <v>Poor</v>
      </c>
      <c r="L150" s="8" t="str">
        <f t="shared" si="2"/>
        <v>Fin</v>
      </c>
      <c r="M150" s="8" t="str">
        <f t="shared" si="3"/>
        <v>Matthew Garcia</v>
      </c>
      <c r="N150" s="8">
        <f t="shared" si="4"/>
        <v>6</v>
      </c>
      <c r="O150" s="8">
        <f t="shared" si="5"/>
        <v>35</v>
      </c>
      <c r="P150" s="8" t="str">
        <f t="shared" si="6"/>
        <v>July</v>
      </c>
      <c r="Q150" s="8">
        <f t="shared" si="7"/>
        <v>3</v>
      </c>
      <c r="R150" s="8" t="str">
        <f t="shared" si="8"/>
        <v>Eligible</v>
      </c>
      <c r="S150" s="8" t="str">
        <f t="shared" si="9"/>
        <v>False</v>
      </c>
      <c r="T150" s="9">
        <f t="shared" si="10"/>
        <v>4327</v>
      </c>
      <c r="U150" s="10"/>
    </row>
    <row r="151" ht="15.75" customHeight="1">
      <c r="A151" s="4" t="s">
        <v>414</v>
      </c>
      <c r="B151" s="4" t="s">
        <v>415</v>
      </c>
      <c r="C151" s="4" t="s">
        <v>226</v>
      </c>
      <c r="D151" s="4" t="s">
        <v>24</v>
      </c>
      <c r="E151" s="4" t="s">
        <v>89</v>
      </c>
      <c r="F151" s="5">
        <v>56.0</v>
      </c>
      <c r="G151" s="6">
        <v>37234.0</v>
      </c>
      <c r="H151" s="6">
        <v>43199.0</v>
      </c>
      <c r="I151" s="7">
        <v>3138.0</v>
      </c>
      <c r="J151" s="8" t="str">
        <f t="shared" si="1"/>
        <v>Pass</v>
      </c>
      <c r="K151" s="8" t="str">
        <f t="array" ref="K151">IFS(F151&gt;=90,"Excellent",F151&gt;=70,"Good",F151&gt;=50,"Average",F151&lt;50,"Poor")</f>
        <v>Average</v>
      </c>
      <c r="L151" s="8" t="str">
        <f t="shared" si="2"/>
        <v>IT</v>
      </c>
      <c r="M151" s="8" t="str">
        <f t="shared" si="3"/>
        <v>Elijah Smith</v>
      </c>
      <c r="N151" s="8">
        <f t="shared" si="4"/>
        <v>6</v>
      </c>
      <c r="O151" s="8">
        <f t="shared" si="5"/>
        <v>23</v>
      </c>
      <c r="P151" s="8" t="str">
        <f t="shared" si="6"/>
        <v>April</v>
      </c>
      <c r="Q151" s="8">
        <f t="shared" si="7"/>
        <v>7</v>
      </c>
      <c r="R151" s="8" t="str">
        <f t="shared" si="8"/>
        <v>Not Eligible</v>
      </c>
      <c r="S151" s="8" t="str">
        <f t="shared" si="9"/>
        <v>True</v>
      </c>
      <c r="T151" s="9">
        <f t="shared" si="10"/>
        <v>1569</v>
      </c>
      <c r="U151" s="10"/>
    </row>
    <row r="152" ht="15.75" customHeight="1">
      <c r="A152" s="4" t="s">
        <v>416</v>
      </c>
      <c r="B152" s="4" t="s">
        <v>417</v>
      </c>
      <c r="C152" s="4" t="s">
        <v>418</v>
      </c>
      <c r="D152" s="4" t="s">
        <v>24</v>
      </c>
      <c r="E152" s="4" t="s">
        <v>207</v>
      </c>
      <c r="F152" s="5">
        <v>74.0</v>
      </c>
      <c r="G152" s="6">
        <v>31944.0</v>
      </c>
      <c r="H152" s="6">
        <v>45517.0</v>
      </c>
      <c r="I152" s="7">
        <v>3946.0</v>
      </c>
      <c r="J152" s="8" t="str">
        <f t="shared" si="1"/>
        <v>Pass</v>
      </c>
      <c r="K152" s="8" t="str">
        <f t="array" ref="K152">IFS(F152&gt;=90,"Excellent",F152&gt;=70,"Good",F152&gt;=50,"Average",F152&lt;50,"Poor")</f>
        <v>Good</v>
      </c>
      <c r="L152" s="8" t="str">
        <f t="shared" si="2"/>
        <v>IT</v>
      </c>
      <c r="M152" s="8" t="str">
        <f t="shared" si="3"/>
        <v>Gina Murphy</v>
      </c>
      <c r="N152" s="8">
        <f t="shared" si="4"/>
        <v>6</v>
      </c>
      <c r="O152" s="8">
        <f t="shared" si="5"/>
        <v>38</v>
      </c>
      <c r="P152" s="8" t="str">
        <f t="shared" si="6"/>
        <v>August</v>
      </c>
      <c r="Q152" s="8">
        <f t="shared" si="7"/>
        <v>1</v>
      </c>
      <c r="R152" s="8" t="str">
        <f t="shared" si="8"/>
        <v>Not Eligible</v>
      </c>
      <c r="S152" s="8" t="str">
        <f t="shared" si="9"/>
        <v>True</v>
      </c>
      <c r="T152" s="9">
        <f t="shared" si="10"/>
        <v>1973</v>
      </c>
      <c r="U152" s="10"/>
    </row>
    <row r="153" ht="15.75" customHeight="1">
      <c r="A153" s="4" t="s">
        <v>419</v>
      </c>
      <c r="B153" s="4" t="s">
        <v>138</v>
      </c>
      <c r="C153" s="4" t="s">
        <v>210</v>
      </c>
      <c r="D153" s="4" t="s">
        <v>29</v>
      </c>
      <c r="E153" s="4" t="s">
        <v>30</v>
      </c>
      <c r="F153" s="5">
        <v>70.0</v>
      </c>
      <c r="G153" s="6">
        <v>32122.0</v>
      </c>
      <c r="H153" s="6">
        <v>45751.0</v>
      </c>
      <c r="I153" s="7">
        <v>8300.0</v>
      </c>
      <c r="J153" s="8" t="str">
        <f t="shared" si="1"/>
        <v>Pass</v>
      </c>
      <c r="K153" s="8" t="str">
        <f t="array" ref="K153">IFS(F153&gt;=90,"Excellent",F153&gt;=70,"Good",F153&gt;=50,"Average",F153&lt;50,"Poor")</f>
        <v>Good</v>
      </c>
      <c r="L153" s="8" t="str">
        <f t="shared" si="2"/>
        <v>Fin</v>
      </c>
      <c r="M153" s="8" t="str">
        <f t="shared" si="3"/>
        <v>Jeffrey Moore</v>
      </c>
      <c r="N153" s="8">
        <f t="shared" si="4"/>
        <v>6</v>
      </c>
      <c r="O153" s="8">
        <f t="shared" si="5"/>
        <v>37</v>
      </c>
      <c r="P153" s="8" t="str">
        <f t="shared" si="6"/>
        <v>April</v>
      </c>
      <c r="Q153" s="8">
        <f t="shared" si="7"/>
        <v>0</v>
      </c>
      <c r="R153" s="8" t="str">
        <f t="shared" si="8"/>
        <v>Not Eligible</v>
      </c>
      <c r="S153" s="8" t="str">
        <f t="shared" si="9"/>
        <v>False</v>
      </c>
      <c r="T153" s="9">
        <f t="shared" si="10"/>
        <v>4150</v>
      </c>
      <c r="U153" s="10"/>
    </row>
    <row r="154" ht="15.75" customHeight="1">
      <c r="A154" s="4" t="s">
        <v>420</v>
      </c>
      <c r="B154" s="4" t="s">
        <v>22</v>
      </c>
      <c r="C154" s="4" t="s">
        <v>421</v>
      </c>
      <c r="D154" s="4" t="s">
        <v>29</v>
      </c>
      <c r="E154" s="4" t="s">
        <v>39</v>
      </c>
      <c r="F154" s="5">
        <v>64.0</v>
      </c>
      <c r="G154" s="6">
        <v>32479.0</v>
      </c>
      <c r="H154" s="6">
        <v>41422.0</v>
      </c>
      <c r="I154" s="7">
        <v>3454.0</v>
      </c>
      <c r="J154" s="8" t="str">
        <f t="shared" si="1"/>
        <v>Pass</v>
      </c>
      <c r="K154" s="8" t="str">
        <f t="array" ref="K154">IFS(F154&gt;=90,"Excellent",F154&gt;=70,"Good",F154&gt;=50,"Average",F154&lt;50,"Poor")</f>
        <v>Average</v>
      </c>
      <c r="L154" s="8" t="str">
        <f t="shared" si="2"/>
        <v>Fin</v>
      </c>
      <c r="M154" s="8" t="str">
        <f t="shared" si="3"/>
        <v>Michael Fernandez</v>
      </c>
      <c r="N154" s="8">
        <f t="shared" si="4"/>
        <v>6</v>
      </c>
      <c r="O154" s="8">
        <f t="shared" si="5"/>
        <v>36</v>
      </c>
      <c r="P154" s="8" t="str">
        <f t="shared" si="6"/>
        <v>May</v>
      </c>
      <c r="Q154" s="8">
        <f t="shared" si="7"/>
        <v>12</v>
      </c>
      <c r="R154" s="8" t="str">
        <f t="shared" si="8"/>
        <v>Eligible</v>
      </c>
      <c r="S154" s="8" t="str">
        <f t="shared" si="9"/>
        <v>False</v>
      </c>
      <c r="T154" s="9">
        <f t="shared" si="10"/>
        <v>1727</v>
      </c>
      <c r="U154" s="10"/>
    </row>
    <row r="155" ht="15.75" customHeight="1">
      <c r="A155" s="4" t="s">
        <v>422</v>
      </c>
      <c r="B155" s="4" t="s">
        <v>423</v>
      </c>
      <c r="C155" s="4" t="s">
        <v>128</v>
      </c>
      <c r="D155" s="4" t="s">
        <v>24</v>
      </c>
      <c r="E155" s="4" t="s">
        <v>25</v>
      </c>
      <c r="F155" s="5">
        <v>56.0</v>
      </c>
      <c r="G155" s="6">
        <v>37118.0</v>
      </c>
      <c r="H155" s="6">
        <v>42424.0</v>
      </c>
      <c r="I155" s="7">
        <v>4867.0</v>
      </c>
      <c r="J155" s="8" t="str">
        <f t="shared" si="1"/>
        <v>Pass</v>
      </c>
      <c r="K155" s="8" t="str">
        <f t="array" ref="K155">IFS(F155&gt;=90,"Excellent",F155&gt;=70,"Good",F155&gt;=50,"Average",F155&lt;50,"Poor")</f>
        <v>Average</v>
      </c>
      <c r="L155" s="8" t="str">
        <f t="shared" si="2"/>
        <v>IT</v>
      </c>
      <c r="M155" s="8" t="str">
        <f t="shared" si="3"/>
        <v>Drew Ford</v>
      </c>
      <c r="N155" s="8">
        <f t="shared" si="4"/>
        <v>6</v>
      </c>
      <c r="O155" s="8">
        <f t="shared" si="5"/>
        <v>24</v>
      </c>
      <c r="P155" s="8" t="str">
        <f t="shared" si="6"/>
        <v>February</v>
      </c>
      <c r="Q155" s="8">
        <f t="shared" si="7"/>
        <v>9</v>
      </c>
      <c r="R155" s="8" t="str">
        <f t="shared" si="8"/>
        <v>Not Eligible</v>
      </c>
      <c r="S155" s="8" t="str">
        <f t="shared" si="9"/>
        <v>True</v>
      </c>
      <c r="T155" s="9">
        <f t="shared" si="10"/>
        <v>2433.5</v>
      </c>
      <c r="U155" s="10"/>
    </row>
    <row r="156" ht="15.75" customHeight="1">
      <c r="A156" s="4" t="s">
        <v>424</v>
      </c>
      <c r="B156" s="4" t="s">
        <v>215</v>
      </c>
      <c r="C156" s="4" t="s">
        <v>425</v>
      </c>
      <c r="D156" s="4" t="s">
        <v>75</v>
      </c>
      <c r="E156" s="4" t="s">
        <v>85</v>
      </c>
      <c r="F156" s="5">
        <v>82.0</v>
      </c>
      <c r="G156" s="6">
        <v>35606.0</v>
      </c>
      <c r="H156" s="6">
        <v>43376.0</v>
      </c>
      <c r="I156" s="7">
        <v>4852.0</v>
      </c>
      <c r="J156" s="8" t="str">
        <f t="shared" si="1"/>
        <v>Pass</v>
      </c>
      <c r="K156" s="8" t="str">
        <f t="array" ref="K156">IFS(F156&gt;=90,"Excellent",F156&gt;=70,"Good",F156&gt;=50,"Average",F156&lt;50,"Poor")</f>
        <v>Good</v>
      </c>
      <c r="L156" s="8" t="str">
        <f t="shared" si="2"/>
        <v>Mar</v>
      </c>
      <c r="M156" s="8" t="str">
        <f t="shared" si="3"/>
        <v>Jennifer Underwood</v>
      </c>
      <c r="N156" s="8">
        <f t="shared" si="4"/>
        <v>6</v>
      </c>
      <c r="O156" s="8">
        <f t="shared" si="5"/>
        <v>28</v>
      </c>
      <c r="P156" s="8" t="str">
        <f t="shared" si="6"/>
        <v>October</v>
      </c>
      <c r="Q156" s="8">
        <f t="shared" si="7"/>
        <v>7</v>
      </c>
      <c r="R156" s="8" t="str">
        <f t="shared" si="8"/>
        <v>Eligible</v>
      </c>
      <c r="S156" s="8" t="str">
        <f t="shared" si="9"/>
        <v>False</v>
      </c>
      <c r="T156" s="9">
        <f t="shared" si="10"/>
        <v>2426</v>
      </c>
      <c r="U156" s="10"/>
    </row>
    <row r="157" ht="15.75" customHeight="1">
      <c r="A157" s="4" t="s">
        <v>426</v>
      </c>
      <c r="B157" s="4" t="s">
        <v>427</v>
      </c>
      <c r="C157" s="4" t="s">
        <v>428</v>
      </c>
      <c r="D157" s="4" t="s">
        <v>46</v>
      </c>
      <c r="E157" s="4" t="s">
        <v>217</v>
      </c>
      <c r="F157" s="5">
        <v>68.0</v>
      </c>
      <c r="G157" s="6">
        <v>35648.0</v>
      </c>
      <c r="H157" s="6">
        <v>41258.0</v>
      </c>
      <c r="I157" s="7">
        <v>6485.0</v>
      </c>
      <c r="J157" s="8" t="str">
        <f t="shared" si="1"/>
        <v>Pass</v>
      </c>
      <c r="K157" s="8" t="str">
        <f t="array" ref="K157">IFS(F157&gt;=90,"Excellent",F157&gt;=70,"Good",F157&gt;=50,"Average",F157&lt;50,"Poor")</f>
        <v>Average</v>
      </c>
      <c r="L157" s="8" t="str">
        <f t="shared" si="2"/>
        <v>Sal</v>
      </c>
      <c r="M157" s="8" t="str">
        <f t="shared" si="3"/>
        <v>Brittany Collier</v>
      </c>
      <c r="N157" s="8">
        <f t="shared" si="4"/>
        <v>6</v>
      </c>
      <c r="O157" s="8">
        <f t="shared" si="5"/>
        <v>28</v>
      </c>
      <c r="P157" s="8" t="str">
        <f t="shared" si="6"/>
        <v>December</v>
      </c>
      <c r="Q157" s="8">
        <f t="shared" si="7"/>
        <v>12</v>
      </c>
      <c r="R157" s="8" t="str">
        <f t="shared" si="8"/>
        <v>Eligible</v>
      </c>
      <c r="S157" s="8" t="str">
        <f t="shared" si="9"/>
        <v>True</v>
      </c>
      <c r="T157" s="9">
        <f t="shared" si="10"/>
        <v>3242.5</v>
      </c>
      <c r="U157" s="10"/>
    </row>
    <row r="158" ht="15.75" customHeight="1">
      <c r="A158" s="4" t="s">
        <v>429</v>
      </c>
      <c r="B158" s="4" t="s">
        <v>393</v>
      </c>
      <c r="C158" s="4" t="s">
        <v>404</v>
      </c>
      <c r="D158" s="4" t="s">
        <v>24</v>
      </c>
      <c r="E158" s="4" t="s">
        <v>207</v>
      </c>
      <c r="F158" s="5">
        <v>42.0</v>
      </c>
      <c r="G158" s="6">
        <v>37840.0</v>
      </c>
      <c r="H158" s="6">
        <v>42138.0</v>
      </c>
      <c r="I158" s="7">
        <v>8861.0</v>
      </c>
      <c r="J158" s="8" t="str">
        <f t="shared" si="1"/>
        <v>Fail</v>
      </c>
      <c r="K158" s="8" t="str">
        <f t="array" ref="K158">IFS(F158&gt;=90,"Excellent",F158&gt;=70,"Good",F158&gt;=50,"Average",F158&lt;50,"Poor")</f>
        <v>Poor</v>
      </c>
      <c r="L158" s="8" t="str">
        <f t="shared" si="2"/>
        <v>IT</v>
      </c>
      <c r="M158" s="8" t="str">
        <f t="shared" si="3"/>
        <v>Jerry Turner</v>
      </c>
      <c r="N158" s="8">
        <f t="shared" si="4"/>
        <v>6</v>
      </c>
      <c r="O158" s="8">
        <f t="shared" si="5"/>
        <v>22</v>
      </c>
      <c r="P158" s="8" t="str">
        <f t="shared" si="6"/>
        <v>May</v>
      </c>
      <c r="Q158" s="8">
        <f t="shared" si="7"/>
        <v>10</v>
      </c>
      <c r="R158" s="8" t="str">
        <f t="shared" si="8"/>
        <v>Not Eligible</v>
      </c>
      <c r="S158" s="8" t="str">
        <f t="shared" si="9"/>
        <v>True</v>
      </c>
      <c r="T158" s="9">
        <f t="shared" si="10"/>
        <v>4430.5</v>
      </c>
      <c r="U158" s="10"/>
    </row>
    <row r="159" ht="15.75" customHeight="1">
      <c r="A159" s="4" t="s">
        <v>430</v>
      </c>
      <c r="B159" s="4" t="s">
        <v>431</v>
      </c>
      <c r="C159" s="4" t="s">
        <v>432</v>
      </c>
      <c r="D159" s="4" t="s">
        <v>75</v>
      </c>
      <c r="E159" s="4" t="s">
        <v>85</v>
      </c>
      <c r="F159" s="5">
        <v>40.0</v>
      </c>
      <c r="G159" s="6">
        <v>33864.0</v>
      </c>
      <c r="H159" s="6">
        <v>45946.0</v>
      </c>
      <c r="I159" s="7">
        <v>7269.0</v>
      </c>
      <c r="J159" s="8" t="str">
        <f t="shared" si="1"/>
        <v>Fail</v>
      </c>
      <c r="K159" s="8" t="str">
        <f t="array" ref="K159">IFS(F159&gt;=90,"Excellent",F159&gt;=70,"Good",F159&gt;=50,"Average",F159&lt;50,"Poor")</f>
        <v>Poor</v>
      </c>
      <c r="L159" s="8" t="str">
        <f t="shared" si="2"/>
        <v>Mar</v>
      </c>
      <c r="M159" s="8" t="str">
        <f t="shared" si="3"/>
        <v>Holly Thompson</v>
      </c>
      <c r="N159" s="8">
        <f t="shared" si="4"/>
        <v>6</v>
      </c>
      <c r="O159" s="8">
        <f t="shared" si="5"/>
        <v>33</v>
      </c>
      <c r="P159" s="8" t="str">
        <f t="shared" si="6"/>
        <v>October</v>
      </c>
      <c r="Q159" s="8">
        <f t="shared" si="7"/>
        <v>0</v>
      </c>
      <c r="R159" s="8" t="str">
        <f t="shared" si="8"/>
        <v>Not Eligible</v>
      </c>
      <c r="S159" s="8" t="str">
        <f t="shared" si="9"/>
        <v>False</v>
      </c>
      <c r="T159" s="9">
        <f t="shared" si="10"/>
        <v>3634.5</v>
      </c>
      <c r="U159" s="10"/>
    </row>
    <row r="160" ht="15.75" customHeight="1">
      <c r="A160" s="4" t="s">
        <v>433</v>
      </c>
      <c r="B160" s="4" t="s">
        <v>238</v>
      </c>
      <c r="C160" s="4" t="s">
        <v>434</v>
      </c>
      <c r="D160" s="4" t="s">
        <v>29</v>
      </c>
      <c r="E160" s="4" t="s">
        <v>30</v>
      </c>
      <c r="F160" s="5">
        <v>76.0</v>
      </c>
      <c r="G160" s="6">
        <v>35245.0</v>
      </c>
      <c r="H160" s="6">
        <v>43447.0</v>
      </c>
      <c r="I160" s="7">
        <v>3340.0</v>
      </c>
      <c r="J160" s="8" t="str">
        <f t="shared" si="1"/>
        <v>Pass</v>
      </c>
      <c r="K160" s="8" t="str">
        <f t="array" ref="K160">IFS(F160&gt;=90,"Excellent",F160&gt;=70,"Good",F160&gt;=50,"Average",F160&lt;50,"Poor")</f>
        <v>Good</v>
      </c>
      <c r="L160" s="8" t="str">
        <f t="shared" si="2"/>
        <v>Fin</v>
      </c>
      <c r="M160" s="8" t="str">
        <f t="shared" si="3"/>
        <v>Travis Barry</v>
      </c>
      <c r="N160" s="8">
        <f t="shared" si="4"/>
        <v>6</v>
      </c>
      <c r="O160" s="8">
        <f t="shared" si="5"/>
        <v>29</v>
      </c>
      <c r="P160" s="8" t="str">
        <f t="shared" si="6"/>
        <v>December</v>
      </c>
      <c r="Q160" s="8">
        <f t="shared" si="7"/>
        <v>6</v>
      </c>
      <c r="R160" s="8" t="str">
        <f t="shared" si="8"/>
        <v>Eligible</v>
      </c>
      <c r="S160" s="8" t="str">
        <f t="shared" si="9"/>
        <v>False</v>
      </c>
      <c r="T160" s="9">
        <f t="shared" si="10"/>
        <v>1670</v>
      </c>
      <c r="U160" s="10"/>
    </row>
    <row r="161" ht="15.75" customHeight="1">
      <c r="A161" s="4" t="s">
        <v>435</v>
      </c>
      <c r="B161" s="4" t="s">
        <v>234</v>
      </c>
      <c r="C161" s="4" t="s">
        <v>436</v>
      </c>
      <c r="D161" s="4" t="s">
        <v>24</v>
      </c>
      <c r="E161" s="4" t="s">
        <v>89</v>
      </c>
      <c r="F161" s="5">
        <v>57.0</v>
      </c>
      <c r="G161" s="6">
        <v>33162.0</v>
      </c>
      <c r="H161" s="6">
        <v>41513.0</v>
      </c>
      <c r="I161" s="7">
        <v>6780.0</v>
      </c>
      <c r="J161" s="8" t="str">
        <f t="shared" si="1"/>
        <v>Pass</v>
      </c>
      <c r="K161" s="8" t="str">
        <f t="array" ref="K161">IFS(F161&gt;=90,"Excellent",F161&gt;=70,"Good",F161&gt;=50,"Average",F161&lt;50,"Poor")</f>
        <v>Average</v>
      </c>
      <c r="L161" s="8" t="str">
        <f t="shared" si="2"/>
        <v>IT</v>
      </c>
      <c r="M161" s="8" t="str">
        <f t="shared" si="3"/>
        <v>Robert Pierce</v>
      </c>
      <c r="N161" s="8">
        <f t="shared" si="4"/>
        <v>6</v>
      </c>
      <c r="O161" s="8">
        <f t="shared" si="5"/>
        <v>35</v>
      </c>
      <c r="P161" s="8" t="str">
        <f t="shared" si="6"/>
        <v>August</v>
      </c>
      <c r="Q161" s="8">
        <f t="shared" si="7"/>
        <v>12</v>
      </c>
      <c r="R161" s="8" t="str">
        <f t="shared" si="8"/>
        <v>Eligible</v>
      </c>
      <c r="S161" s="8" t="str">
        <f t="shared" si="9"/>
        <v>True</v>
      </c>
      <c r="T161" s="9">
        <f t="shared" si="10"/>
        <v>3390</v>
      </c>
      <c r="U161" s="10"/>
    </row>
    <row r="162" ht="15.75" customHeight="1">
      <c r="A162" s="4" t="s">
        <v>437</v>
      </c>
      <c r="B162" s="4" t="s">
        <v>124</v>
      </c>
      <c r="C162" s="4" t="s">
        <v>438</v>
      </c>
      <c r="D162" s="4" t="s">
        <v>24</v>
      </c>
      <c r="E162" s="4" t="s">
        <v>25</v>
      </c>
      <c r="F162" s="5">
        <v>88.0</v>
      </c>
      <c r="G162" s="6">
        <v>37255.0</v>
      </c>
      <c r="H162" s="6">
        <v>42736.0</v>
      </c>
      <c r="I162" s="7">
        <v>6735.0</v>
      </c>
      <c r="J162" s="8" t="str">
        <f t="shared" si="1"/>
        <v>Pass</v>
      </c>
      <c r="K162" s="8" t="str">
        <f t="array" ref="K162">IFS(F162&gt;=90,"Excellent",F162&gt;=70,"Good",F162&gt;=50,"Average",F162&lt;50,"Poor")</f>
        <v>Good</v>
      </c>
      <c r="L162" s="8" t="str">
        <f t="shared" si="2"/>
        <v>IT</v>
      </c>
      <c r="M162" s="8" t="str">
        <f t="shared" si="3"/>
        <v>Charles Brown</v>
      </c>
      <c r="N162" s="8">
        <f t="shared" si="4"/>
        <v>6</v>
      </c>
      <c r="O162" s="8">
        <f t="shared" si="5"/>
        <v>23</v>
      </c>
      <c r="P162" s="8" t="str">
        <f t="shared" si="6"/>
        <v>January</v>
      </c>
      <c r="Q162" s="8">
        <f t="shared" si="7"/>
        <v>8</v>
      </c>
      <c r="R162" s="8" t="str">
        <f t="shared" si="8"/>
        <v>Not Eligible</v>
      </c>
      <c r="S162" s="8" t="str">
        <f t="shared" si="9"/>
        <v>True</v>
      </c>
      <c r="T162" s="9">
        <f t="shared" si="10"/>
        <v>3367.5</v>
      </c>
      <c r="U162" s="10"/>
    </row>
    <row r="163" ht="15.75" customHeight="1">
      <c r="A163" s="4" t="s">
        <v>439</v>
      </c>
      <c r="B163" s="4" t="s">
        <v>304</v>
      </c>
      <c r="C163" s="4" t="s">
        <v>440</v>
      </c>
      <c r="D163" s="4" t="s">
        <v>29</v>
      </c>
      <c r="E163" s="4" t="s">
        <v>39</v>
      </c>
      <c r="F163" s="5">
        <v>48.0</v>
      </c>
      <c r="G163" s="6">
        <v>32751.0</v>
      </c>
      <c r="H163" s="6">
        <v>43155.0</v>
      </c>
      <c r="I163" s="7">
        <v>7313.0</v>
      </c>
      <c r="J163" s="8" t="str">
        <f t="shared" si="1"/>
        <v>Fail</v>
      </c>
      <c r="K163" s="8" t="str">
        <f t="array" ref="K163">IFS(F163&gt;=90,"Excellent",F163&gt;=70,"Good",F163&gt;=50,"Average",F163&lt;50,"Poor")</f>
        <v>Poor</v>
      </c>
      <c r="L163" s="8" t="str">
        <f t="shared" si="2"/>
        <v>Fin</v>
      </c>
      <c r="M163" s="8" t="str">
        <f t="shared" si="3"/>
        <v>Tyler Mitchell</v>
      </c>
      <c r="N163" s="8">
        <f t="shared" si="4"/>
        <v>6</v>
      </c>
      <c r="O163" s="8">
        <f t="shared" si="5"/>
        <v>36</v>
      </c>
      <c r="P163" s="8" t="str">
        <f t="shared" si="6"/>
        <v>February</v>
      </c>
      <c r="Q163" s="8">
        <f t="shared" si="7"/>
        <v>7</v>
      </c>
      <c r="R163" s="8" t="str">
        <f t="shared" si="8"/>
        <v>Eligible</v>
      </c>
      <c r="S163" s="8" t="str">
        <f t="shared" si="9"/>
        <v>False</v>
      </c>
      <c r="T163" s="9">
        <f t="shared" si="10"/>
        <v>3656.5</v>
      </c>
      <c r="U163" s="10"/>
    </row>
    <row r="164" ht="15.75" customHeight="1">
      <c r="A164" s="4" t="s">
        <v>441</v>
      </c>
      <c r="B164" s="4" t="s">
        <v>442</v>
      </c>
      <c r="C164" s="4" t="s">
        <v>443</v>
      </c>
      <c r="D164" s="4" t="s">
        <v>29</v>
      </c>
      <c r="E164" s="4" t="s">
        <v>30</v>
      </c>
      <c r="F164" s="5">
        <v>75.0</v>
      </c>
      <c r="G164" s="6">
        <v>34474.0</v>
      </c>
      <c r="H164" s="6">
        <v>45313.0</v>
      </c>
      <c r="I164" s="7">
        <v>8511.0</v>
      </c>
      <c r="J164" s="8" t="str">
        <f t="shared" si="1"/>
        <v>Pass</v>
      </c>
      <c r="K164" s="8" t="str">
        <f t="array" ref="K164">IFS(F164&gt;=90,"Excellent",F164&gt;=70,"Good",F164&gt;=50,"Average",F164&lt;50,"Poor")</f>
        <v>Good</v>
      </c>
      <c r="L164" s="8" t="str">
        <f t="shared" si="2"/>
        <v>Fin</v>
      </c>
      <c r="M164" s="8" t="str">
        <f t="shared" si="3"/>
        <v>Nancy Montoya</v>
      </c>
      <c r="N164" s="8">
        <f t="shared" si="4"/>
        <v>6</v>
      </c>
      <c r="O164" s="8">
        <f t="shared" si="5"/>
        <v>31</v>
      </c>
      <c r="P164" s="8" t="str">
        <f t="shared" si="6"/>
        <v>January</v>
      </c>
      <c r="Q164" s="8">
        <f t="shared" si="7"/>
        <v>1</v>
      </c>
      <c r="R164" s="8" t="str">
        <f t="shared" si="8"/>
        <v>Not Eligible</v>
      </c>
      <c r="S164" s="8" t="str">
        <f t="shared" si="9"/>
        <v>False</v>
      </c>
      <c r="T164" s="9">
        <f t="shared" si="10"/>
        <v>4255.5</v>
      </c>
      <c r="U164" s="10"/>
    </row>
    <row r="165" ht="15.75" customHeight="1">
      <c r="A165" s="4" t="s">
        <v>444</v>
      </c>
      <c r="B165" s="4" t="s">
        <v>313</v>
      </c>
      <c r="C165" s="4" t="s">
        <v>445</v>
      </c>
      <c r="D165" s="4" t="s">
        <v>29</v>
      </c>
      <c r="E165" s="4" t="s">
        <v>39</v>
      </c>
      <c r="F165" s="5">
        <v>67.0</v>
      </c>
      <c r="G165" s="6">
        <v>35430.0</v>
      </c>
      <c r="H165" s="6">
        <v>45200.0</v>
      </c>
      <c r="I165" s="7">
        <v>6202.0</v>
      </c>
      <c r="J165" s="8" t="str">
        <f t="shared" si="1"/>
        <v>Pass</v>
      </c>
      <c r="K165" s="8" t="str">
        <f t="array" ref="K165">IFS(F165&gt;=90,"Excellent",F165&gt;=70,"Good",F165&gt;=50,"Average",F165&lt;50,"Poor")</f>
        <v>Average</v>
      </c>
      <c r="L165" s="8" t="str">
        <f t="shared" si="2"/>
        <v>Fin</v>
      </c>
      <c r="M165" s="8" t="str">
        <f t="shared" si="3"/>
        <v>Matthew Reynolds</v>
      </c>
      <c r="N165" s="8">
        <f t="shared" si="4"/>
        <v>6</v>
      </c>
      <c r="O165" s="8">
        <f t="shared" si="5"/>
        <v>28</v>
      </c>
      <c r="P165" s="8" t="str">
        <f t="shared" si="6"/>
        <v>October</v>
      </c>
      <c r="Q165" s="8">
        <f t="shared" si="7"/>
        <v>2</v>
      </c>
      <c r="R165" s="8" t="str">
        <f t="shared" si="8"/>
        <v>Not Eligible</v>
      </c>
      <c r="S165" s="8" t="str">
        <f t="shared" si="9"/>
        <v>False</v>
      </c>
      <c r="T165" s="9">
        <f t="shared" si="10"/>
        <v>3101</v>
      </c>
      <c r="U165" s="10"/>
    </row>
    <row r="166" ht="15.75" customHeight="1">
      <c r="A166" s="4" t="s">
        <v>446</v>
      </c>
      <c r="B166" s="4" t="s">
        <v>234</v>
      </c>
      <c r="C166" s="4" t="s">
        <v>447</v>
      </c>
      <c r="D166" s="4" t="s">
        <v>75</v>
      </c>
      <c r="E166" s="4" t="s">
        <v>85</v>
      </c>
      <c r="F166" s="5">
        <v>69.0</v>
      </c>
      <c r="G166" s="6">
        <v>33172.0</v>
      </c>
      <c r="H166" s="6">
        <v>43252.0</v>
      </c>
      <c r="I166" s="7">
        <v>8489.0</v>
      </c>
      <c r="J166" s="8" t="str">
        <f t="shared" si="1"/>
        <v>Pass</v>
      </c>
      <c r="K166" s="8" t="str">
        <f t="array" ref="K166">IFS(F166&gt;=90,"Excellent",F166&gt;=70,"Good",F166&gt;=50,"Average",F166&lt;50,"Poor")</f>
        <v>Average</v>
      </c>
      <c r="L166" s="8" t="str">
        <f t="shared" si="2"/>
        <v>Mar</v>
      </c>
      <c r="M166" s="8" t="str">
        <f t="shared" si="3"/>
        <v>Robert Ortiz</v>
      </c>
      <c r="N166" s="8">
        <f t="shared" si="4"/>
        <v>6</v>
      </c>
      <c r="O166" s="8">
        <f t="shared" si="5"/>
        <v>35</v>
      </c>
      <c r="P166" s="8" t="str">
        <f t="shared" si="6"/>
        <v>June</v>
      </c>
      <c r="Q166" s="8">
        <f t="shared" si="7"/>
        <v>7</v>
      </c>
      <c r="R166" s="8" t="str">
        <f t="shared" si="8"/>
        <v>Eligible</v>
      </c>
      <c r="S166" s="8" t="str">
        <f t="shared" si="9"/>
        <v>False</v>
      </c>
      <c r="T166" s="9">
        <f t="shared" si="10"/>
        <v>4244.5</v>
      </c>
      <c r="U166" s="10"/>
    </row>
    <row r="167" ht="15.75" customHeight="1">
      <c r="A167" s="4" t="s">
        <v>448</v>
      </c>
      <c r="B167" s="4" t="s">
        <v>449</v>
      </c>
      <c r="C167" s="4" t="s">
        <v>450</v>
      </c>
      <c r="D167" s="4" t="s">
        <v>46</v>
      </c>
      <c r="E167" s="4" t="s">
        <v>217</v>
      </c>
      <c r="F167" s="5">
        <v>32.0</v>
      </c>
      <c r="G167" s="6">
        <v>31566.0</v>
      </c>
      <c r="H167" s="6">
        <v>45296.0</v>
      </c>
      <c r="I167" s="7">
        <v>5349.0</v>
      </c>
      <c r="J167" s="8" t="str">
        <f t="shared" si="1"/>
        <v>Fail</v>
      </c>
      <c r="K167" s="8" t="str">
        <f t="array" ref="K167">IFS(F167&gt;=90,"Excellent",F167&gt;=70,"Good",F167&gt;=50,"Average",F167&lt;50,"Poor")</f>
        <v>Poor</v>
      </c>
      <c r="L167" s="8" t="str">
        <f t="shared" si="2"/>
        <v>Sal</v>
      </c>
      <c r="M167" s="8" t="str">
        <f t="shared" si="3"/>
        <v>Melissa Hubbard</v>
      </c>
      <c r="N167" s="8">
        <f t="shared" si="4"/>
        <v>6</v>
      </c>
      <c r="O167" s="8">
        <f t="shared" si="5"/>
        <v>39</v>
      </c>
      <c r="P167" s="8" t="str">
        <f t="shared" si="6"/>
        <v>January</v>
      </c>
      <c r="Q167" s="8">
        <f t="shared" si="7"/>
        <v>1</v>
      </c>
      <c r="R167" s="8" t="str">
        <f t="shared" si="8"/>
        <v>Not Eligible</v>
      </c>
      <c r="S167" s="8" t="str">
        <f t="shared" si="9"/>
        <v>True</v>
      </c>
      <c r="T167" s="9">
        <f t="shared" si="10"/>
        <v>2674.5</v>
      </c>
      <c r="U167" s="10"/>
    </row>
    <row r="168" ht="15.75" customHeight="1">
      <c r="A168" s="4" t="s">
        <v>451</v>
      </c>
      <c r="B168" s="4" t="s">
        <v>343</v>
      </c>
      <c r="C168" s="4" t="s">
        <v>452</v>
      </c>
      <c r="D168" s="4" t="s">
        <v>75</v>
      </c>
      <c r="E168" s="4" t="s">
        <v>85</v>
      </c>
      <c r="F168" s="5">
        <v>74.0</v>
      </c>
      <c r="G168" s="6">
        <v>34507.0</v>
      </c>
      <c r="H168" s="6">
        <v>43458.0</v>
      </c>
      <c r="I168" s="7">
        <v>8300.0</v>
      </c>
      <c r="J168" s="8" t="str">
        <f t="shared" si="1"/>
        <v>Pass</v>
      </c>
      <c r="K168" s="8" t="str">
        <f t="array" ref="K168">IFS(F168&gt;=90,"Excellent",F168&gt;=70,"Good",F168&gt;=50,"Average",F168&lt;50,"Poor")</f>
        <v>Good</v>
      </c>
      <c r="L168" s="8" t="str">
        <f t="shared" si="2"/>
        <v>Mar</v>
      </c>
      <c r="M168" s="8" t="str">
        <f t="shared" si="3"/>
        <v>Curtis Gray</v>
      </c>
      <c r="N168" s="8">
        <f t="shared" si="4"/>
        <v>6</v>
      </c>
      <c r="O168" s="8">
        <f t="shared" si="5"/>
        <v>31</v>
      </c>
      <c r="P168" s="8" t="str">
        <f t="shared" si="6"/>
        <v>December</v>
      </c>
      <c r="Q168" s="8">
        <f t="shared" si="7"/>
        <v>6</v>
      </c>
      <c r="R168" s="8" t="str">
        <f t="shared" si="8"/>
        <v>Eligible</v>
      </c>
      <c r="S168" s="8" t="str">
        <f t="shared" si="9"/>
        <v>False</v>
      </c>
      <c r="T168" s="9">
        <f t="shared" si="10"/>
        <v>4150</v>
      </c>
      <c r="U168" s="10"/>
    </row>
    <row r="169" ht="15.75" customHeight="1">
      <c r="A169" s="4" t="s">
        <v>453</v>
      </c>
      <c r="B169" s="4" t="s">
        <v>454</v>
      </c>
      <c r="C169" s="4" t="s">
        <v>79</v>
      </c>
      <c r="D169" s="4" t="s">
        <v>75</v>
      </c>
      <c r="E169" s="4" t="s">
        <v>76</v>
      </c>
      <c r="F169" s="5">
        <v>89.0</v>
      </c>
      <c r="G169" s="6">
        <v>37656.0</v>
      </c>
      <c r="H169" s="6">
        <v>43095.0</v>
      </c>
      <c r="I169" s="7">
        <v>6740.0</v>
      </c>
      <c r="J169" s="8" t="str">
        <f t="shared" si="1"/>
        <v>Pass</v>
      </c>
      <c r="K169" s="8" t="str">
        <f t="array" ref="K169">IFS(F169&gt;=90,"Excellent",F169&gt;=70,"Good",F169&gt;=50,"Average",F169&lt;50,"Poor")</f>
        <v>Good</v>
      </c>
      <c r="L169" s="8" t="str">
        <f t="shared" si="2"/>
        <v>Mar</v>
      </c>
      <c r="M169" s="8" t="str">
        <f t="shared" si="3"/>
        <v>Bruce Carroll</v>
      </c>
      <c r="N169" s="8">
        <f t="shared" si="4"/>
        <v>6</v>
      </c>
      <c r="O169" s="8">
        <f t="shared" si="5"/>
        <v>22</v>
      </c>
      <c r="P169" s="8" t="str">
        <f t="shared" si="6"/>
        <v>December</v>
      </c>
      <c r="Q169" s="8">
        <f t="shared" si="7"/>
        <v>7</v>
      </c>
      <c r="R169" s="8" t="str">
        <f t="shared" si="8"/>
        <v>Not Eligible</v>
      </c>
      <c r="S169" s="8" t="str">
        <f t="shared" si="9"/>
        <v>False</v>
      </c>
      <c r="T169" s="9">
        <f t="shared" si="10"/>
        <v>3370</v>
      </c>
      <c r="U169" s="10"/>
    </row>
    <row r="170" ht="15.75" customHeight="1">
      <c r="A170" s="4" t="s">
        <v>455</v>
      </c>
      <c r="B170" s="4" t="s">
        <v>456</v>
      </c>
      <c r="C170" s="4" t="s">
        <v>457</v>
      </c>
      <c r="D170" s="4" t="s">
        <v>34</v>
      </c>
      <c r="E170" s="4" t="s">
        <v>71</v>
      </c>
      <c r="F170" s="5">
        <v>83.0</v>
      </c>
      <c r="G170" s="6">
        <v>33886.0</v>
      </c>
      <c r="H170" s="6">
        <v>45355.0</v>
      </c>
      <c r="I170" s="7">
        <v>6156.0</v>
      </c>
      <c r="J170" s="8" t="str">
        <f t="shared" si="1"/>
        <v>Pass</v>
      </c>
      <c r="K170" s="8" t="str">
        <f t="array" ref="K170">IFS(F170&gt;=90,"Excellent",F170&gt;=70,"Good",F170&gt;=50,"Average",F170&lt;50,"Poor")</f>
        <v>Good</v>
      </c>
      <c r="L170" s="8" t="str">
        <f t="shared" si="2"/>
        <v>HR</v>
      </c>
      <c r="M170" s="8" t="str">
        <f t="shared" si="3"/>
        <v>Sean Hunt</v>
      </c>
      <c r="N170" s="8">
        <f t="shared" si="4"/>
        <v>6</v>
      </c>
      <c r="O170" s="8">
        <f t="shared" si="5"/>
        <v>33</v>
      </c>
      <c r="P170" s="8" t="str">
        <f t="shared" si="6"/>
        <v>March</v>
      </c>
      <c r="Q170" s="8">
        <f t="shared" si="7"/>
        <v>1</v>
      </c>
      <c r="R170" s="8" t="str">
        <f t="shared" si="8"/>
        <v>Not Eligible</v>
      </c>
      <c r="S170" s="8" t="str">
        <f t="shared" si="9"/>
        <v>False</v>
      </c>
      <c r="T170" s="9">
        <f t="shared" si="10"/>
        <v>3078</v>
      </c>
      <c r="U170" s="10"/>
    </row>
    <row r="171" ht="15.75" customHeight="1">
      <c r="A171" s="4" t="s">
        <v>458</v>
      </c>
      <c r="B171" s="4" t="s">
        <v>459</v>
      </c>
      <c r="C171" s="4" t="s">
        <v>460</v>
      </c>
      <c r="D171" s="4" t="s">
        <v>24</v>
      </c>
      <c r="E171" s="4" t="s">
        <v>207</v>
      </c>
      <c r="F171" s="5">
        <v>45.0</v>
      </c>
      <c r="G171" s="6">
        <v>35492.0</v>
      </c>
      <c r="H171" s="6">
        <v>43926.0</v>
      </c>
      <c r="I171" s="7">
        <v>7288.0</v>
      </c>
      <c r="J171" s="8" t="str">
        <f t="shared" si="1"/>
        <v>Fail</v>
      </c>
      <c r="K171" s="8" t="str">
        <f t="array" ref="K171">IFS(F171&gt;=90,"Excellent",F171&gt;=70,"Good",F171&gt;=50,"Average",F171&lt;50,"Poor")</f>
        <v>Poor</v>
      </c>
      <c r="L171" s="8" t="str">
        <f t="shared" si="2"/>
        <v>IT</v>
      </c>
      <c r="M171" s="8" t="str">
        <f t="shared" si="3"/>
        <v>Aaron Crawford</v>
      </c>
      <c r="N171" s="8">
        <f t="shared" si="4"/>
        <v>6</v>
      </c>
      <c r="O171" s="8">
        <f t="shared" si="5"/>
        <v>28</v>
      </c>
      <c r="P171" s="8" t="str">
        <f t="shared" si="6"/>
        <v>April</v>
      </c>
      <c r="Q171" s="8">
        <f t="shared" si="7"/>
        <v>5</v>
      </c>
      <c r="R171" s="8" t="str">
        <f t="shared" si="8"/>
        <v>Eligible</v>
      </c>
      <c r="S171" s="8" t="str">
        <f t="shared" si="9"/>
        <v>True</v>
      </c>
      <c r="T171" s="9">
        <f t="shared" si="10"/>
        <v>3644</v>
      </c>
      <c r="U171" s="10"/>
    </row>
    <row r="172" ht="15.75" customHeight="1">
      <c r="A172" s="4" t="s">
        <v>461</v>
      </c>
      <c r="B172" s="4" t="s">
        <v>185</v>
      </c>
      <c r="C172" s="4" t="s">
        <v>136</v>
      </c>
      <c r="D172" s="4" t="s">
        <v>34</v>
      </c>
      <c r="E172" s="4" t="s">
        <v>35</v>
      </c>
      <c r="F172" s="5">
        <v>53.0</v>
      </c>
      <c r="G172" s="6">
        <v>36442.0</v>
      </c>
      <c r="H172" s="6">
        <v>42222.0</v>
      </c>
      <c r="I172" s="7">
        <v>8941.0</v>
      </c>
      <c r="J172" s="8" t="str">
        <f t="shared" si="1"/>
        <v>Pass</v>
      </c>
      <c r="K172" s="8" t="str">
        <f t="array" ref="K172">IFS(F172&gt;=90,"Excellent",F172&gt;=70,"Good",F172&gt;=50,"Average",F172&lt;50,"Poor")</f>
        <v>Average</v>
      </c>
      <c r="L172" s="8" t="str">
        <f t="shared" si="2"/>
        <v>HR</v>
      </c>
      <c r="M172" s="8" t="str">
        <f t="shared" si="3"/>
        <v>Scott Johnson</v>
      </c>
      <c r="N172" s="8">
        <f t="shared" si="4"/>
        <v>6</v>
      </c>
      <c r="O172" s="8">
        <f t="shared" si="5"/>
        <v>26</v>
      </c>
      <c r="P172" s="8" t="str">
        <f t="shared" si="6"/>
        <v>August</v>
      </c>
      <c r="Q172" s="8">
        <f t="shared" si="7"/>
        <v>10</v>
      </c>
      <c r="R172" s="8" t="str">
        <f t="shared" si="8"/>
        <v>Eligible</v>
      </c>
      <c r="S172" s="8" t="str">
        <f t="shared" si="9"/>
        <v>False</v>
      </c>
      <c r="T172" s="9">
        <f t="shared" si="10"/>
        <v>4470.5</v>
      </c>
      <c r="U172" s="10"/>
    </row>
    <row r="173" ht="15.75" customHeight="1">
      <c r="A173" s="4" t="s">
        <v>462</v>
      </c>
      <c r="B173" s="4" t="s">
        <v>37</v>
      </c>
      <c r="C173" s="4" t="s">
        <v>452</v>
      </c>
      <c r="D173" s="4" t="s">
        <v>24</v>
      </c>
      <c r="E173" s="4" t="s">
        <v>25</v>
      </c>
      <c r="F173" s="5">
        <v>67.0</v>
      </c>
      <c r="G173" s="6">
        <v>37322.0</v>
      </c>
      <c r="H173" s="6">
        <v>41618.0</v>
      </c>
      <c r="I173" s="7">
        <v>5904.0</v>
      </c>
      <c r="J173" s="8" t="str">
        <f t="shared" si="1"/>
        <v>Pass</v>
      </c>
      <c r="K173" s="8" t="str">
        <f t="array" ref="K173">IFS(F173&gt;=90,"Excellent",F173&gt;=70,"Good",F173&gt;=50,"Average",F173&lt;50,"Poor")</f>
        <v>Average</v>
      </c>
      <c r="L173" s="8" t="str">
        <f t="shared" si="2"/>
        <v>IT</v>
      </c>
      <c r="M173" s="8" t="str">
        <f t="shared" si="3"/>
        <v>Joseph Gray</v>
      </c>
      <c r="N173" s="8">
        <f t="shared" si="4"/>
        <v>6</v>
      </c>
      <c r="O173" s="8">
        <f t="shared" si="5"/>
        <v>23</v>
      </c>
      <c r="P173" s="8" t="str">
        <f t="shared" si="6"/>
        <v>December</v>
      </c>
      <c r="Q173" s="8">
        <f t="shared" si="7"/>
        <v>11</v>
      </c>
      <c r="R173" s="8" t="str">
        <f t="shared" si="8"/>
        <v>Not Eligible</v>
      </c>
      <c r="S173" s="8" t="str">
        <f t="shared" si="9"/>
        <v>True</v>
      </c>
      <c r="T173" s="9">
        <f t="shared" si="10"/>
        <v>2952</v>
      </c>
      <c r="U173" s="10"/>
    </row>
    <row r="174" ht="15.75" customHeight="1">
      <c r="A174" s="4" t="s">
        <v>463</v>
      </c>
      <c r="B174" s="4" t="s">
        <v>464</v>
      </c>
      <c r="C174" s="4" t="s">
        <v>136</v>
      </c>
      <c r="D174" s="4" t="s">
        <v>29</v>
      </c>
      <c r="E174" s="4" t="s">
        <v>39</v>
      </c>
      <c r="F174" s="5">
        <v>92.0</v>
      </c>
      <c r="G174" s="6">
        <v>33744.0</v>
      </c>
      <c r="H174" s="6">
        <v>41452.0</v>
      </c>
      <c r="I174" s="7">
        <v>8674.0</v>
      </c>
      <c r="J174" s="8" t="str">
        <f t="shared" si="1"/>
        <v>Pass</v>
      </c>
      <c r="K174" s="8" t="str">
        <f t="array" ref="K174">IFS(F174&gt;=90,"Excellent",F174&gt;=70,"Good",F174&gt;=50,"Average",F174&lt;50,"Poor")</f>
        <v>Excellent</v>
      </c>
      <c r="L174" s="8" t="str">
        <f t="shared" si="2"/>
        <v>Fin</v>
      </c>
      <c r="M174" s="8" t="str">
        <f t="shared" si="3"/>
        <v>Samantha Johnson</v>
      </c>
      <c r="N174" s="8">
        <f t="shared" si="4"/>
        <v>6</v>
      </c>
      <c r="O174" s="8">
        <f t="shared" si="5"/>
        <v>33</v>
      </c>
      <c r="P174" s="8" t="str">
        <f t="shared" si="6"/>
        <v>June</v>
      </c>
      <c r="Q174" s="8">
        <f t="shared" si="7"/>
        <v>12</v>
      </c>
      <c r="R174" s="8" t="str">
        <f t="shared" si="8"/>
        <v>Eligible</v>
      </c>
      <c r="S174" s="8" t="str">
        <f t="shared" si="9"/>
        <v>False</v>
      </c>
      <c r="T174" s="9">
        <f t="shared" si="10"/>
        <v>4337</v>
      </c>
      <c r="U174" s="10"/>
    </row>
    <row r="175" ht="15.75" customHeight="1">
      <c r="A175" s="4" t="s">
        <v>465</v>
      </c>
      <c r="B175" s="4" t="s">
        <v>466</v>
      </c>
      <c r="C175" s="4" t="s">
        <v>59</v>
      </c>
      <c r="D175" s="4" t="s">
        <v>75</v>
      </c>
      <c r="E175" s="4" t="s">
        <v>85</v>
      </c>
      <c r="F175" s="5">
        <v>56.0</v>
      </c>
      <c r="G175" s="6">
        <v>37121.0</v>
      </c>
      <c r="H175" s="6">
        <v>43440.0</v>
      </c>
      <c r="I175" s="7">
        <v>7330.0</v>
      </c>
      <c r="J175" s="8" t="str">
        <f t="shared" si="1"/>
        <v>Pass</v>
      </c>
      <c r="K175" s="8" t="str">
        <f t="array" ref="K175">IFS(F175&gt;=90,"Excellent",F175&gt;=70,"Good",F175&gt;=50,"Average",F175&lt;50,"Poor")</f>
        <v>Average</v>
      </c>
      <c r="L175" s="8" t="str">
        <f t="shared" si="2"/>
        <v>Mar</v>
      </c>
      <c r="M175" s="8" t="str">
        <f t="shared" si="3"/>
        <v>Victor Rodriguez</v>
      </c>
      <c r="N175" s="8">
        <f t="shared" si="4"/>
        <v>6</v>
      </c>
      <c r="O175" s="8">
        <f t="shared" si="5"/>
        <v>24</v>
      </c>
      <c r="P175" s="8" t="str">
        <f t="shared" si="6"/>
        <v>December</v>
      </c>
      <c r="Q175" s="8">
        <f t="shared" si="7"/>
        <v>6</v>
      </c>
      <c r="R175" s="8" t="str">
        <f t="shared" si="8"/>
        <v>Not Eligible</v>
      </c>
      <c r="S175" s="8" t="str">
        <f t="shared" si="9"/>
        <v>False</v>
      </c>
      <c r="T175" s="9">
        <f t="shared" si="10"/>
        <v>3665</v>
      </c>
      <c r="U175" s="10"/>
    </row>
    <row r="176" ht="15.75" customHeight="1">
      <c r="A176" s="4" t="s">
        <v>467</v>
      </c>
      <c r="B176" s="4" t="s">
        <v>468</v>
      </c>
      <c r="C176" s="4" t="s">
        <v>263</v>
      </c>
      <c r="D176" s="4" t="s">
        <v>75</v>
      </c>
      <c r="E176" s="4" t="s">
        <v>85</v>
      </c>
      <c r="F176" s="5">
        <v>63.0</v>
      </c>
      <c r="G176" s="6">
        <v>34663.0</v>
      </c>
      <c r="H176" s="6">
        <v>45352.0</v>
      </c>
      <c r="I176" s="7">
        <v>4973.0</v>
      </c>
      <c r="J176" s="8" t="str">
        <f t="shared" si="1"/>
        <v>Pass</v>
      </c>
      <c r="K176" s="8" t="str">
        <f t="array" ref="K176">IFS(F176&gt;=90,"Excellent",F176&gt;=70,"Good",F176&gt;=50,"Average",F176&lt;50,"Poor")</f>
        <v>Average</v>
      </c>
      <c r="L176" s="8" t="str">
        <f t="shared" si="2"/>
        <v>Mar</v>
      </c>
      <c r="M176" s="8" t="str">
        <f t="shared" si="3"/>
        <v>James Miller</v>
      </c>
      <c r="N176" s="8">
        <f t="shared" si="4"/>
        <v>6</v>
      </c>
      <c r="O176" s="8">
        <f t="shared" si="5"/>
        <v>30</v>
      </c>
      <c r="P176" s="8" t="str">
        <f t="shared" si="6"/>
        <v>March</v>
      </c>
      <c r="Q176" s="8">
        <f t="shared" si="7"/>
        <v>1</v>
      </c>
      <c r="R176" s="8" t="str">
        <f t="shared" si="8"/>
        <v>Not Eligible</v>
      </c>
      <c r="S176" s="8" t="str">
        <f t="shared" si="9"/>
        <v>False</v>
      </c>
      <c r="T176" s="9">
        <f t="shared" si="10"/>
        <v>2486.5</v>
      </c>
      <c r="U176" s="10"/>
    </row>
    <row r="177" ht="15.75" customHeight="1">
      <c r="A177" s="4" t="s">
        <v>469</v>
      </c>
      <c r="B177" s="4" t="s">
        <v>468</v>
      </c>
      <c r="C177" s="4" t="s">
        <v>470</v>
      </c>
      <c r="D177" s="4" t="s">
        <v>75</v>
      </c>
      <c r="E177" s="4" t="s">
        <v>76</v>
      </c>
      <c r="F177" s="5">
        <v>42.0</v>
      </c>
      <c r="G177" s="6">
        <v>37961.0</v>
      </c>
      <c r="H177" s="6">
        <v>43450.0</v>
      </c>
      <c r="I177" s="7">
        <v>6202.0</v>
      </c>
      <c r="J177" s="8" t="str">
        <f t="shared" si="1"/>
        <v>Fail</v>
      </c>
      <c r="K177" s="8" t="str">
        <f t="array" ref="K177">IFS(F177&gt;=90,"Excellent",F177&gt;=70,"Good",F177&gt;=50,"Average",F177&lt;50,"Poor")</f>
        <v>Poor</v>
      </c>
      <c r="L177" s="8" t="str">
        <f t="shared" si="2"/>
        <v>Mar</v>
      </c>
      <c r="M177" s="8" t="str">
        <f t="shared" si="3"/>
        <v>James Nelson</v>
      </c>
      <c r="N177" s="8">
        <f t="shared" si="4"/>
        <v>6</v>
      </c>
      <c r="O177" s="8">
        <f t="shared" si="5"/>
        <v>21</v>
      </c>
      <c r="P177" s="8" t="str">
        <f t="shared" si="6"/>
        <v>December</v>
      </c>
      <c r="Q177" s="8">
        <f t="shared" si="7"/>
        <v>6</v>
      </c>
      <c r="R177" s="8" t="str">
        <f t="shared" si="8"/>
        <v>Not Eligible</v>
      </c>
      <c r="S177" s="8" t="str">
        <f t="shared" si="9"/>
        <v>False</v>
      </c>
      <c r="T177" s="9">
        <f t="shared" si="10"/>
        <v>3101</v>
      </c>
      <c r="U177" s="10"/>
    </row>
    <row r="178" ht="15.75" customHeight="1">
      <c r="A178" s="4" t="s">
        <v>471</v>
      </c>
      <c r="B178" s="4" t="s">
        <v>468</v>
      </c>
      <c r="C178" s="4" t="s">
        <v>411</v>
      </c>
      <c r="D178" s="4" t="s">
        <v>34</v>
      </c>
      <c r="E178" s="4" t="s">
        <v>35</v>
      </c>
      <c r="F178" s="5">
        <v>92.0</v>
      </c>
      <c r="G178" s="6">
        <v>35897.0</v>
      </c>
      <c r="H178" s="6">
        <v>43536.0</v>
      </c>
      <c r="I178" s="7">
        <v>3522.0</v>
      </c>
      <c r="J178" s="8" t="str">
        <f t="shared" si="1"/>
        <v>Pass</v>
      </c>
      <c r="K178" s="8" t="str">
        <f t="array" ref="K178">IFS(F178&gt;=90,"Excellent",F178&gt;=70,"Good",F178&gt;=50,"Average",F178&lt;50,"Poor")</f>
        <v>Excellent</v>
      </c>
      <c r="L178" s="8" t="str">
        <f t="shared" si="2"/>
        <v>HR</v>
      </c>
      <c r="M178" s="8" t="str">
        <f t="shared" si="3"/>
        <v>James Gonzalez</v>
      </c>
      <c r="N178" s="8">
        <f t="shared" si="4"/>
        <v>6</v>
      </c>
      <c r="O178" s="8">
        <f t="shared" si="5"/>
        <v>27</v>
      </c>
      <c r="P178" s="8" t="str">
        <f t="shared" si="6"/>
        <v>March</v>
      </c>
      <c r="Q178" s="8">
        <f t="shared" si="7"/>
        <v>6</v>
      </c>
      <c r="R178" s="8" t="str">
        <f t="shared" si="8"/>
        <v>Eligible</v>
      </c>
      <c r="S178" s="8" t="str">
        <f t="shared" si="9"/>
        <v>False</v>
      </c>
      <c r="T178" s="9">
        <f t="shared" si="10"/>
        <v>1761</v>
      </c>
      <c r="U178" s="10"/>
    </row>
    <row r="179" ht="15.75" customHeight="1">
      <c r="A179" s="4" t="s">
        <v>472</v>
      </c>
      <c r="B179" s="4" t="s">
        <v>287</v>
      </c>
      <c r="C179" s="4" t="s">
        <v>473</v>
      </c>
      <c r="D179" s="4" t="s">
        <v>24</v>
      </c>
      <c r="E179" s="4" t="s">
        <v>89</v>
      </c>
      <c r="F179" s="5">
        <v>34.0</v>
      </c>
      <c r="G179" s="6">
        <v>38087.0</v>
      </c>
      <c r="H179" s="6">
        <v>42306.0</v>
      </c>
      <c r="I179" s="7">
        <v>4778.0</v>
      </c>
      <c r="J179" s="8" t="str">
        <f t="shared" si="1"/>
        <v>Fail</v>
      </c>
      <c r="K179" s="8" t="str">
        <f t="array" ref="K179">IFS(F179&gt;=90,"Excellent",F179&gt;=70,"Good",F179&gt;=50,"Average",F179&lt;50,"Poor")</f>
        <v>Poor</v>
      </c>
      <c r="L179" s="8" t="str">
        <f t="shared" si="2"/>
        <v>IT</v>
      </c>
      <c r="M179" s="8" t="str">
        <f t="shared" si="3"/>
        <v>Lindsey Cross</v>
      </c>
      <c r="N179" s="8">
        <f t="shared" si="4"/>
        <v>6</v>
      </c>
      <c r="O179" s="8">
        <f t="shared" si="5"/>
        <v>21</v>
      </c>
      <c r="P179" s="8" t="str">
        <f t="shared" si="6"/>
        <v>October</v>
      </c>
      <c r="Q179" s="8">
        <f t="shared" si="7"/>
        <v>10</v>
      </c>
      <c r="R179" s="8" t="str">
        <f t="shared" si="8"/>
        <v>Not Eligible</v>
      </c>
      <c r="S179" s="8" t="str">
        <f t="shared" si="9"/>
        <v>True</v>
      </c>
      <c r="T179" s="9">
        <f t="shared" si="10"/>
        <v>2389</v>
      </c>
      <c r="U179" s="10"/>
    </row>
    <row r="180" ht="15.75" customHeight="1">
      <c r="A180" s="4" t="s">
        <v>474</v>
      </c>
      <c r="B180" s="4" t="s">
        <v>475</v>
      </c>
      <c r="C180" s="4" t="s">
        <v>476</v>
      </c>
      <c r="D180" s="4" t="s">
        <v>34</v>
      </c>
      <c r="E180" s="4" t="s">
        <v>71</v>
      </c>
      <c r="F180" s="5">
        <v>93.0</v>
      </c>
      <c r="G180" s="6">
        <v>31087.0</v>
      </c>
      <c r="H180" s="6">
        <v>42977.0</v>
      </c>
      <c r="I180" s="7">
        <v>8640.0</v>
      </c>
      <c r="J180" s="8" t="str">
        <f t="shared" si="1"/>
        <v>Pass</v>
      </c>
      <c r="K180" s="8" t="str">
        <f t="array" ref="K180">IFS(F180&gt;=90,"Excellent",F180&gt;=70,"Good",F180&gt;=50,"Average",F180&lt;50,"Poor")</f>
        <v>Excellent</v>
      </c>
      <c r="L180" s="8" t="str">
        <f t="shared" si="2"/>
        <v>HR</v>
      </c>
      <c r="M180" s="8" t="str">
        <f t="shared" si="3"/>
        <v>Evan Kent</v>
      </c>
      <c r="N180" s="8">
        <f t="shared" si="4"/>
        <v>6</v>
      </c>
      <c r="O180" s="8">
        <f t="shared" si="5"/>
        <v>40</v>
      </c>
      <c r="P180" s="8" t="str">
        <f t="shared" si="6"/>
        <v>August</v>
      </c>
      <c r="Q180" s="8">
        <f t="shared" si="7"/>
        <v>8</v>
      </c>
      <c r="R180" s="8" t="str">
        <f t="shared" si="8"/>
        <v>Eligible</v>
      </c>
      <c r="S180" s="8" t="str">
        <f t="shared" si="9"/>
        <v>False</v>
      </c>
      <c r="T180" s="9">
        <f t="shared" si="10"/>
        <v>4320</v>
      </c>
      <c r="U180" s="10"/>
    </row>
    <row r="181" ht="15.75" customHeight="1">
      <c r="A181" s="4" t="s">
        <v>477</v>
      </c>
      <c r="B181" s="4" t="s">
        <v>478</v>
      </c>
      <c r="C181" s="4" t="s">
        <v>479</v>
      </c>
      <c r="D181" s="4" t="s">
        <v>34</v>
      </c>
      <c r="E181" s="4" t="s">
        <v>71</v>
      </c>
      <c r="F181" s="5">
        <v>68.0</v>
      </c>
      <c r="G181" s="6">
        <v>34102.0</v>
      </c>
      <c r="H181" s="6">
        <v>44303.0</v>
      </c>
      <c r="I181" s="7">
        <v>7267.0</v>
      </c>
      <c r="J181" s="8" t="str">
        <f t="shared" si="1"/>
        <v>Pass</v>
      </c>
      <c r="K181" s="8" t="str">
        <f t="array" ref="K181">IFS(F181&gt;=90,"Excellent",F181&gt;=70,"Good",F181&gt;=50,"Average",F181&lt;50,"Poor")</f>
        <v>Average</v>
      </c>
      <c r="L181" s="8" t="str">
        <f t="shared" si="2"/>
        <v>HR</v>
      </c>
      <c r="M181" s="8" t="str">
        <f t="shared" si="3"/>
        <v>Donna Hall</v>
      </c>
      <c r="N181" s="8">
        <f t="shared" si="4"/>
        <v>6</v>
      </c>
      <c r="O181" s="8">
        <f t="shared" si="5"/>
        <v>32</v>
      </c>
      <c r="P181" s="8" t="str">
        <f t="shared" si="6"/>
        <v>April</v>
      </c>
      <c r="Q181" s="8">
        <f t="shared" si="7"/>
        <v>4</v>
      </c>
      <c r="R181" s="8" t="str">
        <f t="shared" si="8"/>
        <v>Eligible</v>
      </c>
      <c r="S181" s="8" t="str">
        <f t="shared" si="9"/>
        <v>False</v>
      </c>
      <c r="T181" s="9">
        <f t="shared" si="10"/>
        <v>3633.5</v>
      </c>
      <c r="U181" s="10"/>
    </row>
    <row r="182" ht="15.75" customHeight="1">
      <c r="A182" s="4" t="s">
        <v>480</v>
      </c>
      <c r="B182" s="4" t="s">
        <v>481</v>
      </c>
      <c r="C182" s="4" t="s">
        <v>317</v>
      </c>
      <c r="D182" s="4" t="s">
        <v>46</v>
      </c>
      <c r="E182" s="4" t="s">
        <v>217</v>
      </c>
      <c r="F182" s="5">
        <v>67.0</v>
      </c>
      <c r="G182" s="6">
        <v>33797.0</v>
      </c>
      <c r="H182" s="6">
        <v>45524.0</v>
      </c>
      <c r="I182" s="7">
        <v>5880.0</v>
      </c>
      <c r="J182" s="8" t="str">
        <f t="shared" si="1"/>
        <v>Pass</v>
      </c>
      <c r="K182" s="8" t="str">
        <f t="array" ref="K182">IFS(F182&gt;=90,"Excellent",F182&gt;=70,"Good",F182&gt;=50,"Average",F182&lt;50,"Poor")</f>
        <v>Average</v>
      </c>
      <c r="L182" s="8" t="str">
        <f t="shared" si="2"/>
        <v>Sal</v>
      </c>
      <c r="M182" s="8" t="str">
        <f t="shared" si="3"/>
        <v>Isaac Martinez</v>
      </c>
      <c r="N182" s="8">
        <f t="shared" si="4"/>
        <v>6</v>
      </c>
      <c r="O182" s="8">
        <f t="shared" si="5"/>
        <v>33</v>
      </c>
      <c r="P182" s="8" t="str">
        <f t="shared" si="6"/>
        <v>August</v>
      </c>
      <c r="Q182" s="8">
        <f t="shared" si="7"/>
        <v>1</v>
      </c>
      <c r="R182" s="8" t="str">
        <f t="shared" si="8"/>
        <v>Not Eligible</v>
      </c>
      <c r="S182" s="8" t="str">
        <f t="shared" si="9"/>
        <v>True</v>
      </c>
      <c r="T182" s="9">
        <f t="shared" si="10"/>
        <v>2940</v>
      </c>
      <c r="U182" s="10"/>
    </row>
    <row r="183" ht="15.75" customHeight="1">
      <c r="A183" s="4" t="s">
        <v>482</v>
      </c>
      <c r="B183" s="4" t="s">
        <v>103</v>
      </c>
      <c r="C183" s="4" t="s">
        <v>362</v>
      </c>
      <c r="D183" s="4" t="s">
        <v>46</v>
      </c>
      <c r="E183" s="4" t="s">
        <v>53</v>
      </c>
      <c r="F183" s="5">
        <v>31.0</v>
      </c>
      <c r="G183" s="6">
        <v>38170.0</v>
      </c>
      <c r="H183" s="6">
        <v>43975.0</v>
      </c>
      <c r="I183" s="7">
        <v>6961.0</v>
      </c>
      <c r="J183" s="8" t="str">
        <f t="shared" si="1"/>
        <v>Fail</v>
      </c>
      <c r="K183" s="8" t="str">
        <f t="array" ref="K183">IFS(F183&gt;=90,"Excellent",F183&gt;=70,"Good",F183&gt;=50,"Average",F183&lt;50,"Poor")</f>
        <v>Poor</v>
      </c>
      <c r="L183" s="8" t="str">
        <f t="shared" si="2"/>
        <v>Sal</v>
      </c>
      <c r="M183" s="8" t="str">
        <f t="shared" si="3"/>
        <v>Stephanie Williams</v>
      </c>
      <c r="N183" s="8">
        <f t="shared" si="4"/>
        <v>6</v>
      </c>
      <c r="O183" s="8">
        <f t="shared" si="5"/>
        <v>21</v>
      </c>
      <c r="P183" s="8" t="str">
        <f t="shared" si="6"/>
        <v>May</v>
      </c>
      <c r="Q183" s="8">
        <f t="shared" si="7"/>
        <v>5</v>
      </c>
      <c r="R183" s="8" t="str">
        <f t="shared" si="8"/>
        <v>Not Eligible</v>
      </c>
      <c r="S183" s="8" t="str">
        <f t="shared" si="9"/>
        <v>True</v>
      </c>
      <c r="T183" s="9">
        <f t="shared" si="10"/>
        <v>3480.5</v>
      </c>
      <c r="U183" s="10"/>
    </row>
    <row r="184" ht="15.75" customHeight="1">
      <c r="A184" s="4" t="s">
        <v>483</v>
      </c>
      <c r="B184" s="4" t="s">
        <v>270</v>
      </c>
      <c r="C184" s="4" t="s">
        <v>484</v>
      </c>
      <c r="D184" s="4" t="s">
        <v>75</v>
      </c>
      <c r="E184" s="4" t="s">
        <v>76</v>
      </c>
      <c r="F184" s="5">
        <v>31.0</v>
      </c>
      <c r="G184" s="6">
        <v>34015.0</v>
      </c>
      <c r="H184" s="6">
        <v>41503.0</v>
      </c>
      <c r="I184" s="7">
        <v>3425.0</v>
      </c>
      <c r="J184" s="8" t="str">
        <f t="shared" si="1"/>
        <v>Fail</v>
      </c>
      <c r="K184" s="8" t="str">
        <f t="array" ref="K184">IFS(F184&gt;=90,"Excellent",F184&gt;=70,"Good",F184&gt;=50,"Average",F184&lt;50,"Poor")</f>
        <v>Poor</v>
      </c>
      <c r="L184" s="8" t="str">
        <f t="shared" si="2"/>
        <v>Mar</v>
      </c>
      <c r="M184" s="8" t="str">
        <f t="shared" si="3"/>
        <v>Eric Hughes</v>
      </c>
      <c r="N184" s="8">
        <f t="shared" si="4"/>
        <v>6</v>
      </c>
      <c r="O184" s="8">
        <f t="shared" si="5"/>
        <v>32</v>
      </c>
      <c r="P184" s="8" t="str">
        <f t="shared" si="6"/>
        <v>August</v>
      </c>
      <c r="Q184" s="8">
        <f t="shared" si="7"/>
        <v>12</v>
      </c>
      <c r="R184" s="8" t="str">
        <f t="shared" si="8"/>
        <v>Eligible</v>
      </c>
      <c r="S184" s="8" t="str">
        <f t="shared" si="9"/>
        <v>False</v>
      </c>
      <c r="T184" s="9">
        <f t="shared" si="10"/>
        <v>1712.5</v>
      </c>
      <c r="U184" s="10"/>
    </row>
    <row r="185" ht="15.75" customHeight="1">
      <c r="A185" s="4" t="s">
        <v>485</v>
      </c>
      <c r="B185" s="4" t="s">
        <v>22</v>
      </c>
      <c r="C185" s="4" t="s">
        <v>119</v>
      </c>
      <c r="D185" s="4" t="s">
        <v>29</v>
      </c>
      <c r="E185" s="4" t="s">
        <v>30</v>
      </c>
      <c r="F185" s="5">
        <v>90.0</v>
      </c>
      <c r="G185" s="6">
        <v>33401.0</v>
      </c>
      <c r="H185" s="6">
        <v>43789.0</v>
      </c>
      <c r="I185" s="7">
        <v>6446.0</v>
      </c>
      <c r="J185" s="8" t="str">
        <f t="shared" si="1"/>
        <v>Pass</v>
      </c>
      <c r="K185" s="8" t="str">
        <f t="array" ref="K185">IFS(F185&gt;=90,"Excellent",F185&gt;=70,"Good",F185&gt;=50,"Average",F185&lt;50,"Poor")</f>
        <v>Excellent</v>
      </c>
      <c r="L185" s="8" t="str">
        <f t="shared" si="2"/>
        <v>Fin</v>
      </c>
      <c r="M185" s="8" t="str">
        <f t="shared" si="3"/>
        <v>Michael Anderson</v>
      </c>
      <c r="N185" s="8">
        <f t="shared" si="4"/>
        <v>6</v>
      </c>
      <c r="O185" s="8">
        <f t="shared" si="5"/>
        <v>34</v>
      </c>
      <c r="P185" s="8" t="str">
        <f t="shared" si="6"/>
        <v>November</v>
      </c>
      <c r="Q185" s="8">
        <f t="shared" si="7"/>
        <v>5</v>
      </c>
      <c r="R185" s="8" t="str">
        <f t="shared" si="8"/>
        <v>Eligible</v>
      </c>
      <c r="S185" s="8" t="str">
        <f t="shared" si="9"/>
        <v>False</v>
      </c>
      <c r="T185" s="9">
        <f t="shared" si="10"/>
        <v>3223</v>
      </c>
      <c r="U185" s="10"/>
    </row>
    <row r="186" ht="15.75" customHeight="1">
      <c r="A186" s="4" t="s">
        <v>486</v>
      </c>
      <c r="B186" s="4" t="s">
        <v>349</v>
      </c>
      <c r="C186" s="4" t="s">
        <v>487</v>
      </c>
      <c r="D186" s="4" t="s">
        <v>24</v>
      </c>
      <c r="E186" s="4" t="s">
        <v>25</v>
      </c>
      <c r="F186" s="5">
        <v>72.0</v>
      </c>
      <c r="G186" s="6">
        <v>34630.0</v>
      </c>
      <c r="H186" s="6">
        <v>42806.0</v>
      </c>
      <c r="I186" s="7">
        <v>7747.0</v>
      </c>
      <c r="J186" s="8" t="str">
        <f t="shared" si="1"/>
        <v>Pass</v>
      </c>
      <c r="K186" s="8" t="str">
        <f t="array" ref="K186">IFS(F186&gt;=90,"Excellent",F186&gt;=70,"Good",F186&gt;=50,"Average",F186&lt;50,"Poor")</f>
        <v>Good</v>
      </c>
      <c r="L186" s="8" t="str">
        <f t="shared" si="2"/>
        <v>IT</v>
      </c>
      <c r="M186" s="8" t="str">
        <f t="shared" si="3"/>
        <v>Zachary Casey</v>
      </c>
      <c r="N186" s="8">
        <f t="shared" si="4"/>
        <v>6</v>
      </c>
      <c r="O186" s="8">
        <f t="shared" si="5"/>
        <v>31</v>
      </c>
      <c r="P186" s="8" t="str">
        <f t="shared" si="6"/>
        <v>March</v>
      </c>
      <c r="Q186" s="8">
        <f t="shared" si="7"/>
        <v>8</v>
      </c>
      <c r="R186" s="8" t="str">
        <f t="shared" si="8"/>
        <v>Eligible</v>
      </c>
      <c r="S186" s="8" t="str">
        <f t="shared" si="9"/>
        <v>True</v>
      </c>
      <c r="T186" s="9">
        <f t="shared" si="10"/>
        <v>3873.5</v>
      </c>
      <c r="U186" s="10"/>
    </row>
    <row r="187" ht="15.75" customHeight="1">
      <c r="A187" s="4" t="s">
        <v>488</v>
      </c>
      <c r="B187" s="4" t="s">
        <v>489</v>
      </c>
      <c r="C187" s="4" t="s">
        <v>490</v>
      </c>
      <c r="D187" s="4" t="s">
        <v>75</v>
      </c>
      <c r="E187" s="4" t="s">
        <v>76</v>
      </c>
      <c r="F187" s="5">
        <v>41.0</v>
      </c>
      <c r="G187" s="6">
        <v>34626.0</v>
      </c>
      <c r="H187" s="6">
        <v>42296.0</v>
      </c>
      <c r="I187" s="7">
        <v>5266.0</v>
      </c>
      <c r="J187" s="8" t="str">
        <f t="shared" si="1"/>
        <v>Fail</v>
      </c>
      <c r="K187" s="8" t="str">
        <f t="array" ref="K187">IFS(F187&gt;=90,"Excellent",F187&gt;=70,"Good",F187&gt;=50,"Average",F187&lt;50,"Poor")</f>
        <v>Poor</v>
      </c>
      <c r="L187" s="8" t="str">
        <f t="shared" si="2"/>
        <v>Mar</v>
      </c>
      <c r="M187" s="8" t="str">
        <f t="shared" si="3"/>
        <v>Meagan Clark</v>
      </c>
      <c r="N187" s="8">
        <f t="shared" si="4"/>
        <v>6</v>
      </c>
      <c r="O187" s="8">
        <f t="shared" si="5"/>
        <v>31</v>
      </c>
      <c r="P187" s="8" t="str">
        <f t="shared" si="6"/>
        <v>October</v>
      </c>
      <c r="Q187" s="8">
        <f t="shared" si="7"/>
        <v>10</v>
      </c>
      <c r="R187" s="8" t="str">
        <f t="shared" si="8"/>
        <v>Eligible</v>
      </c>
      <c r="S187" s="8" t="str">
        <f t="shared" si="9"/>
        <v>False</v>
      </c>
      <c r="T187" s="9">
        <f t="shared" si="10"/>
        <v>2633</v>
      </c>
      <c r="U187" s="10"/>
    </row>
    <row r="188" ht="15.75" customHeight="1">
      <c r="A188" s="4" t="s">
        <v>491</v>
      </c>
      <c r="B188" s="4" t="s">
        <v>492</v>
      </c>
      <c r="C188" s="4" t="s">
        <v>493</v>
      </c>
      <c r="D188" s="4" t="s">
        <v>29</v>
      </c>
      <c r="E188" s="4" t="s">
        <v>30</v>
      </c>
      <c r="F188" s="5">
        <v>62.0</v>
      </c>
      <c r="G188" s="6">
        <v>32110.0</v>
      </c>
      <c r="H188" s="6">
        <v>43330.0</v>
      </c>
      <c r="I188" s="7">
        <v>6976.0</v>
      </c>
      <c r="J188" s="8" t="str">
        <f t="shared" si="1"/>
        <v>Pass</v>
      </c>
      <c r="K188" s="8" t="str">
        <f t="array" ref="K188">IFS(F188&gt;=90,"Excellent",F188&gt;=70,"Good",F188&gt;=50,"Average",F188&lt;50,"Poor")</f>
        <v>Average</v>
      </c>
      <c r="L188" s="8" t="str">
        <f t="shared" si="2"/>
        <v>Fin</v>
      </c>
      <c r="M188" s="8" t="str">
        <f t="shared" si="3"/>
        <v>Alicia Davis</v>
      </c>
      <c r="N188" s="8">
        <f t="shared" si="4"/>
        <v>6</v>
      </c>
      <c r="O188" s="8">
        <f t="shared" si="5"/>
        <v>37</v>
      </c>
      <c r="P188" s="8" t="str">
        <f t="shared" si="6"/>
        <v>August</v>
      </c>
      <c r="Q188" s="8">
        <f t="shared" si="7"/>
        <v>7</v>
      </c>
      <c r="R188" s="8" t="str">
        <f t="shared" si="8"/>
        <v>Eligible</v>
      </c>
      <c r="S188" s="8" t="str">
        <f t="shared" si="9"/>
        <v>False</v>
      </c>
      <c r="T188" s="9">
        <f t="shared" si="10"/>
        <v>3488</v>
      </c>
      <c r="U188" s="10"/>
    </row>
    <row r="189" ht="15.75" customHeight="1">
      <c r="A189" s="4" t="s">
        <v>494</v>
      </c>
      <c r="B189" s="4" t="s">
        <v>495</v>
      </c>
      <c r="C189" s="4" t="s">
        <v>82</v>
      </c>
      <c r="D189" s="4" t="s">
        <v>29</v>
      </c>
      <c r="E189" s="4" t="s">
        <v>30</v>
      </c>
      <c r="F189" s="5">
        <v>58.0</v>
      </c>
      <c r="G189" s="6">
        <v>32045.0</v>
      </c>
      <c r="H189" s="6">
        <v>43332.0</v>
      </c>
      <c r="I189" s="7">
        <v>8631.0</v>
      </c>
      <c r="J189" s="8" t="str">
        <f t="shared" si="1"/>
        <v>Pass</v>
      </c>
      <c r="K189" s="8" t="str">
        <f t="array" ref="K189">IFS(F189&gt;=90,"Excellent",F189&gt;=70,"Good",F189&gt;=50,"Average",F189&lt;50,"Poor")</f>
        <v>Average</v>
      </c>
      <c r="L189" s="8" t="str">
        <f t="shared" si="2"/>
        <v>Fin</v>
      </c>
      <c r="M189" s="8" t="str">
        <f t="shared" si="3"/>
        <v>Peter Gutierrez</v>
      </c>
      <c r="N189" s="8">
        <f t="shared" si="4"/>
        <v>6</v>
      </c>
      <c r="O189" s="8">
        <f t="shared" si="5"/>
        <v>38</v>
      </c>
      <c r="P189" s="8" t="str">
        <f t="shared" si="6"/>
        <v>August</v>
      </c>
      <c r="Q189" s="8">
        <f t="shared" si="7"/>
        <v>7</v>
      </c>
      <c r="R189" s="8" t="str">
        <f t="shared" si="8"/>
        <v>Eligible</v>
      </c>
      <c r="S189" s="8" t="str">
        <f t="shared" si="9"/>
        <v>False</v>
      </c>
      <c r="T189" s="9">
        <f t="shared" si="10"/>
        <v>4315.5</v>
      </c>
      <c r="U189" s="10"/>
    </row>
    <row r="190" ht="15.75" customHeight="1">
      <c r="A190" s="4" t="s">
        <v>496</v>
      </c>
      <c r="B190" s="4" t="s">
        <v>497</v>
      </c>
      <c r="C190" s="4" t="s">
        <v>498</v>
      </c>
      <c r="D190" s="4" t="s">
        <v>75</v>
      </c>
      <c r="E190" s="4" t="s">
        <v>76</v>
      </c>
      <c r="F190" s="5">
        <v>31.0</v>
      </c>
      <c r="G190" s="6">
        <v>33497.0</v>
      </c>
      <c r="H190" s="6">
        <v>42219.0</v>
      </c>
      <c r="I190" s="7">
        <v>4931.0</v>
      </c>
      <c r="J190" s="8" t="str">
        <f t="shared" si="1"/>
        <v>Fail</v>
      </c>
      <c r="K190" s="8" t="str">
        <f t="array" ref="K190">IFS(F190&gt;=90,"Excellent",F190&gt;=70,"Good",F190&gt;=50,"Average",F190&lt;50,"Poor")</f>
        <v>Poor</v>
      </c>
      <c r="L190" s="8" t="str">
        <f t="shared" si="2"/>
        <v>Mar</v>
      </c>
      <c r="M190" s="8" t="str">
        <f t="shared" si="3"/>
        <v>Kevin Marsh</v>
      </c>
      <c r="N190" s="8">
        <f t="shared" si="4"/>
        <v>6</v>
      </c>
      <c r="O190" s="8">
        <f t="shared" si="5"/>
        <v>34</v>
      </c>
      <c r="P190" s="8" t="str">
        <f t="shared" si="6"/>
        <v>August</v>
      </c>
      <c r="Q190" s="8">
        <f t="shared" si="7"/>
        <v>10</v>
      </c>
      <c r="R190" s="8" t="str">
        <f t="shared" si="8"/>
        <v>Eligible</v>
      </c>
      <c r="S190" s="8" t="str">
        <f t="shared" si="9"/>
        <v>False</v>
      </c>
      <c r="T190" s="9">
        <f t="shared" si="10"/>
        <v>2465.5</v>
      </c>
      <c r="U190" s="10"/>
    </row>
    <row r="191" ht="15.75" customHeight="1">
      <c r="A191" s="4" t="s">
        <v>499</v>
      </c>
      <c r="B191" s="4" t="s">
        <v>22</v>
      </c>
      <c r="C191" s="4" t="s">
        <v>203</v>
      </c>
      <c r="D191" s="4" t="s">
        <v>75</v>
      </c>
      <c r="E191" s="4" t="s">
        <v>85</v>
      </c>
      <c r="F191" s="5">
        <v>73.0</v>
      </c>
      <c r="G191" s="6">
        <v>34165.0</v>
      </c>
      <c r="H191" s="6">
        <v>42268.0</v>
      </c>
      <c r="I191" s="7">
        <v>4948.0</v>
      </c>
      <c r="J191" s="8" t="str">
        <f t="shared" si="1"/>
        <v>Pass</v>
      </c>
      <c r="K191" s="8" t="str">
        <f t="array" ref="K191">IFS(F191&gt;=90,"Excellent",F191&gt;=70,"Good",F191&gt;=50,"Average",F191&lt;50,"Poor")</f>
        <v>Good</v>
      </c>
      <c r="L191" s="8" t="str">
        <f t="shared" si="2"/>
        <v>Mar</v>
      </c>
      <c r="M191" s="8" t="str">
        <f t="shared" si="3"/>
        <v>Michael Parker</v>
      </c>
      <c r="N191" s="8">
        <f t="shared" si="4"/>
        <v>6</v>
      </c>
      <c r="O191" s="8">
        <f t="shared" si="5"/>
        <v>32</v>
      </c>
      <c r="P191" s="8" t="str">
        <f t="shared" si="6"/>
        <v>September</v>
      </c>
      <c r="Q191" s="8">
        <f t="shared" si="7"/>
        <v>10</v>
      </c>
      <c r="R191" s="8" t="str">
        <f t="shared" si="8"/>
        <v>Eligible</v>
      </c>
      <c r="S191" s="8" t="str">
        <f t="shared" si="9"/>
        <v>False</v>
      </c>
      <c r="T191" s="9">
        <f t="shared" si="10"/>
        <v>2474</v>
      </c>
      <c r="U191" s="10"/>
    </row>
    <row r="192" ht="15.75" customHeight="1">
      <c r="A192" s="4" t="s">
        <v>500</v>
      </c>
      <c r="B192" s="4" t="s">
        <v>501</v>
      </c>
      <c r="C192" s="4" t="s">
        <v>502</v>
      </c>
      <c r="D192" s="4" t="s">
        <v>29</v>
      </c>
      <c r="E192" s="4" t="s">
        <v>30</v>
      </c>
      <c r="F192" s="5">
        <v>45.0</v>
      </c>
      <c r="G192" s="6">
        <v>37419.0</v>
      </c>
      <c r="H192" s="6">
        <v>45117.0</v>
      </c>
      <c r="I192" s="7">
        <v>7832.0</v>
      </c>
      <c r="J192" s="8" t="str">
        <f t="shared" si="1"/>
        <v>Fail</v>
      </c>
      <c r="K192" s="8" t="str">
        <f t="array" ref="K192">IFS(F192&gt;=90,"Excellent",F192&gt;=70,"Good",F192&gt;=50,"Average",F192&lt;50,"Poor")</f>
        <v>Poor</v>
      </c>
      <c r="L192" s="8" t="str">
        <f t="shared" si="2"/>
        <v>Fin</v>
      </c>
      <c r="M192" s="8" t="str">
        <f t="shared" si="3"/>
        <v>Joyce Morton</v>
      </c>
      <c r="N192" s="8">
        <f t="shared" si="4"/>
        <v>6</v>
      </c>
      <c r="O192" s="8">
        <f t="shared" si="5"/>
        <v>23</v>
      </c>
      <c r="P192" s="8" t="str">
        <f t="shared" si="6"/>
        <v>July</v>
      </c>
      <c r="Q192" s="8">
        <f t="shared" si="7"/>
        <v>2</v>
      </c>
      <c r="R192" s="8" t="str">
        <f t="shared" si="8"/>
        <v>Not Eligible</v>
      </c>
      <c r="S192" s="8" t="str">
        <f t="shared" si="9"/>
        <v>False</v>
      </c>
      <c r="T192" s="9">
        <f t="shared" si="10"/>
        <v>3916</v>
      </c>
      <c r="U192" s="10"/>
    </row>
    <row r="193" ht="15.75" customHeight="1">
      <c r="A193" s="4" t="s">
        <v>503</v>
      </c>
      <c r="B193" s="4" t="s">
        <v>504</v>
      </c>
      <c r="C193" s="4" t="s">
        <v>505</v>
      </c>
      <c r="D193" s="4" t="s">
        <v>34</v>
      </c>
      <c r="E193" s="4" t="s">
        <v>35</v>
      </c>
      <c r="F193" s="5">
        <v>97.0</v>
      </c>
      <c r="G193" s="6">
        <v>36176.0</v>
      </c>
      <c r="H193" s="6">
        <v>44392.0</v>
      </c>
      <c r="I193" s="7">
        <v>9080.0</v>
      </c>
      <c r="J193" s="8" t="str">
        <f t="shared" si="1"/>
        <v>Pass</v>
      </c>
      <c r="K193" s="8" t="str">
        <f t="array" ref="K193">IFS(F193&gt;=90,"Excellent",F193&gt;=70,"Good",F193&gt;=50,"Average",F193&lt;50,"Poor")</f>
        <v>Excellent</v>
      </c>
      <c r="L193" s="8" t="str">
        <f t="shared" si="2"/>
        <v>HR</v>
      </c>
      <c r="M193" s="8" t="str">
        <f t="shared" si="3"/>
        <v>Thomas Butler</v>
      </c>
      <c r="N193" s="8">
        <f t="shared" si="4"/>
        <v>6</v>
      </c>
      <c r="O193" s="8">
        <f t="shared" si="5"/>
        <v>26</v>
      </c>
      <c r="P193" s="8" t="str">
        <f t="shared" si="6"/>
        <v>July</v>
      </c>
      <c r="Q193" s="8">
        <f t="shared" si="7"/>
        <v>4</v>
      </c>
      <c r="R193" s="8" t="str">
        <f t="shared" si="8"/>
        <v>Eligible</v>
      </c>
      <c r="S193" s="8" t="str">
        <f t="shared" si="9"/>
        <v>False</v>
      </c>
      <c r="T193" s="9">
        <f t="shared" si="10"/>
        <v>4540</v>
      </c>
      <c r="U193" s="10"/>
    </row>
    <row r="194" ht="15.75" customHeight="1">
      <c r="A194" s="4" t="s">
        <v>506</v>
      </c>
      <c r="B194" s="4" t="s">
        <v>507</v>
      </c>
      <c r="C194" s="4" t="s">
        <v>508</v>
      </c>
      <c r="D194" s="4" t="s">
        <v>34</v>
      </c>
      <c r="E194" s="4" t="s">
        <v>35</v>
      </c>
      <c r="F194" s="5">
        <v>65.0</v>
      </c>
      <c r="G194" s="6">
        <v>34033.0</v>
      </c>
      <c r="H194" s="6">
        <v>44617.0</v>
      </c>
      <c r="I194" s="7">
        <v>3783.0</v>
      </c>
      <c r="J194" s="8" t="str">
        <f t="shared" si="1"/>
        <v>Pass</v>
      </c>
      <c r="K194" s="8" t="str">
        <f t="array" ref="K194">IFS(F194&gt;=90,"Excellent",F194&gt;=70,"Good",F194&gt;=50,"Average",F194&lt;50,"Poor")</f>
        <v>Average</v>
      </c>
      <c r="L194" s="8" t="str">
        <f t="shared" si="2"/>
        <v>HR</v>
      </c>
      <c r="M194" s="8" t="str">
        <f t="shared" si="3"/>
        <v>Roberto Rhodes</v>
      </c>
      <c r="N194" s="8">
        <f t="shared" si="4"/>
        <v>6</v>
      </c>
      <c r="O194" s="8">
        <f t="shared" si="5"/>
        <v>32</v>
      </c>
      <c r="P194" s="8" t="str">
        <f t="shared" si="6"/>
        <v>February</v>
      </c>
      <c r="Q194" s="8">
        <f t="shared" si="7"/>
        <v>3</v>
      </c>
      <c r="R194" s="8" t="str">
        <f t="shared" si="8"/>
        <v>Eligible</v>
      </c>
      <c r="S194" s="8" t="str">
        <f t="shared" si="9"/>
        <v>False</v>
      </c>
      <c r="T194" s="9">
        <f t="shared" si="10"/>
        <v>1891.5</v>
      </c>
      <c r="U194" s="10"/>
    </row>
    <row r="195" ht="15.75" customHeight="1">
      <c r="A195" s="4" t="s">
        <v>509</v>
      </c>
      <c r="B195" s="4" t="s">
        <v>468</v>
      </c>
      <c r="C195" s="4" t="s">
        <v>235</v>
      </c>
      <c r="D195" s="4" t="s">
        <v>46</v>
      </c>
      <c r="E195" s="4" t="s">
        <v>53</v>
      </c>
      <c r="F195" s="5">
        <v>71.0</v>
      </c>
      <c r="G195" s="6">
        <v>32356.0</v>
      </c>
      <c r="H195" s="6">
        <v>41593.0</v>
      </c>
      <c r="I195" s="7">
        <v>5979.0</v>
      </c>
      <c r="J195" s="8" t="str">
        <f t="shared" si="1"/>
        <v>Pass</v>
      </c>
      <c r="K195" s="8" t="str">
        <f t="array" ref="K195">IFS(F195&gt;=90,"Excellent",F195&gt;=70,"Good",F195&gt;=50,"Average",F195&lt;50,"Poor")</f>
        <v>Good</v>
      </c>
      <c r="L195" s="8" t="str">
        <f t="shared" si="2"/>
        <v>Sal</v>
      </c>
      <c r="M195" s="8" t="str">
        <f t="shared" si="3"/>
        <v>James Jones</v>
      </c>
      <c r="N195" s="8">
        <f t="shared" si="4"/>
        <v>6</v>
      </c>
      <c r="O195" s="8">
        <f t="shared" si="5"/>
        <v>37</v>
      </c>
      <c r="P195" s="8" t="str">
        <f t="shared" si="6"/>
        <v>November</v>
      </c>
      <c r="Q195" s="8">
        <f t="shared" si="7"/>
        <v>11</v>
      </c>
      <c r="R195" s="8" t="str">
        <f t="shared" si="8"/>
        <v>Eligible</v>
      </c>
      <c r="S195" s="8" t="str">
        <f t="shared" si="9"/>
        <v>True</v>
      </c>
      <c r="T195" s="9">
        <f t="shared" si="10"/>
        <v>2989.5</v>
      </c>
      <c r="U195" s="10"/>
    </row>
    <row r="196" ht="15.75" customHeight="1">
      <c r="A196" s="4" t="s">
        <v>510</v>
      </c>
      <c r="B196" s="4" t="s">
        <v>138</v>
      </c>
      <c r="C196" s="4" t="s">
        <v>226</v>
      </c>
      <c r="D196" s="4" t="s">
        <v>29</v>
      </c>
      <c r="E196" s="4" t="s">
        <v>30</v>
      </c>
      <c r="F196" s="5">
        <v>62.0</v>
      </c>
      <c r="G196" s="6">
        <v>37268.0</v>
      </c>
      <c r="H196" s="6">
        <v>42351.0</v>
      </c>
      <c r="I196" s="7">
        <v>5416.0</v>
      </c>
      <c r="J196" s="8" t="str">
        <f t="shared" si="1"/>
        <v>Pass</v>
      </c>
      <c r="K196" s="8" t="str">
        <f t="array" ref="K196">IFS(F196&gt;=90,"Excellent",F196&gt;=70,"Good",F196&gt;=50,"Average",F196&lt;50,"Poor")</f>
        <v>Average</v>
      </c>
      <c r="L196" s="8" t="str">
        <f t="shared" si="2"/>
        <v>Fin</v>
      </c>
      <c r="M196" s="8" t="str">
        <f t="shared" si="3"/>
        <v>Jeffrey Smith</v>
      </c>
      <c r="N196" s="8">
        <f t="shared" si="4"/>
        <v>6</v>
      </c>
      <c r="O196" s="8">
        <f t="shared" si="5"/>
        <v>23</v>
      </c>
      <c r="P196" s="8" t="str">
        <f t="shared" si="6"/>
        <v>December</v>
      </c>
      <c r="Q196" s="8">
        <f t="shared" si="7"/>
        <v>9</v>
      </c>
      <c r="R196" s="8" t="str">
        <f t="shared" si="8"/>
        <v>Not Eligible</v>
      </c>
      <c r="S196" s="8" t="str">
        <f t="shared" si="9"/>
        <v>False</v>
      </c>
      <c r="T196" s="9">
        <f t="shared" si="10"/>
        <v>2708</v>
      </c>
      <c r="U196" s="10"/>
    </row>
    <row r="197" ht="15.75" customHeight="1">
      <c r="A197" s="4" t="s">
        <v>511</v>
      </c>
      <c r="B197" s="4" t="s">
        <v>512</v>
      </c>
      <c r="C197" s="4" t="s">
        <v>513</v>
      </c>
      <c r="D197" s="4" t="s">
        <v>46</v>
      </c>
      <c r="E197" s="4" t="s">
        <v>53</v>
      </c>
      <c r="F197" s="5">
        <v>83.0</v>
      </c>
      <c r="G197" s="6">
        <v>33082.0</v>
      </c>
      <c r="H197" s="6">
        <v>45568.0</v>
      </c>
      <c r="I197" s="7">
        <v>3926.0</v>
      </c>
      <c r="J197" s="8" t="str">
        <f t="shared" si="1"/>
        <v>Pass</v>
      </c>
      <c r="K197" s="8" t="str">
        <f t="array" ref="K197">IFS(F197&gt;=90,"Excellent",F197&gt;=70,"Good",F197&gt;=50,"Average",F197&lt;50,"Poor")</f>
        <v>Good</v>
      </c>
      <c r="L197" s="8" t="str">
        <f t="shared" si="2"/>
        <v>Sal</v>
      </c>
      <c r="M197" s="8" t="str">
        <f t="shared" si="3"/>
        <v>Chad Nguyen</v>
      </c>
      <c r="N197" s="8">
        <f t="shared" si="4"/>
        <v>6</v>
      </c>
      <c r="O197" s="8">
        <f t="shared" si="5"/>
        <v>35</v>
      </c>
      <c r="P197" s="8" t="str">
        <f t="shared" si="6"/>
        <v>October</v>
      </c>
      <c r="Q197" s="8">
        <f t="shared" si="7"/>
        <v>1</v>
      </c>
      <c r="R197" s="8" t="str">
        <f t="shared" si="8"/>
        <v>Not Eligible</v>
      </c>
      <c r="S197" s="8" t="str">
        <f t="shared" si="9"/>
        <v>True</v>
      </c>
      <c r="T197" s="9">
        <f t="shared" si="10"/>
        <v>1963</v>
      </c>
      <c r="U197" s="10"/>
    </row>
    <row r="198" ht="15.75" customHeight="1">
      <c r="A198" s="4" t="s">
        <v>514</v>
      </c>
      <c r="B198" s="4" t="s">
        <v>515</v>
      </c>
      <c r="C198" s="4" t="s">
        <v>309</v>
      </c>
      <c r="D198" s="4" t="s">
        <v>46</v>
      </c>
      <c r="E198" s="4" t="s">
        <v>53</v>
      </c>
      <c r="F198" s="5">
        <v>95.0</v>
      </c>
      <c r="G198" s="6">
        <v>32760.0</v>
      </c>
      <c r="H198" s="6">
        <v>44171.0</v>
      </c>
      <c r="I198" s="7">
        <v>8555.0</v>
      </c>
      <c r="J198" s="8" t="str">
        <f t="shared" si="1"/>
        <v>Pass</v>
      </c>
      <c r="K198" s="8" t="str">
        <f t="array" ref="K198">IFS(F198&gt;=90,"Excellent",F198&gt;=70,"Good",F198&gt;=50,"Average",F198&lt;50,"Poor")</f>
        <v>Excellent</v>
      </c>
      <c r="L198" s="8" t="str">
        <f t="shared" si="2"/>
        <v>Sal</v>
      </c>
      <c r="M198" s="8" t="str">
        <f t="shared" si="3"/>
        <v>Maria Green</v>
      </c>
      <c r="N198" s="8">
        <f t="shared" si="4"/>
        <v>6</v>
      </c>
      <c r="O198" s="8">
        <f t="shared" si="5"/>
        <v>36</v>
      </c>
      <c r="P198" s="8" t="str">
        <f t="shared" si="6"/>
        <v>December</v>
      </c>
      <c r="Q198" s="8">
        <f t="shared" si="7"/>
        <v>4</v>
      </c>
      <c r="R198" s="8" t="str">
        <f t="shared" si="8"/>
        <v>Eligible</v>
      </c>
      <c r="S198" s="8" t="str">
        <f t="shared" si="9"/>
        <v>True</v>
      </c>
      <c r="T198" s="9">
        <f t="shared" si="10"/>
        <v>4277.5</v>
      </c>
      <c r="U198" s="10"/>
    </row>
    <row r="199" ht="15.75" customHeight="1">
      <c r="A199" s="4" t="s">
        <v>516</v>
      </c>
      <c r="B199" s="4" t="s">
        <v>517</v>
      </c>
      <c r="C199" s="4" t="s">
        <v>518</v>
      </c>
      <c r="D199" s="4" t="s">
        <v>75</v>
      </c>
      <c r="E199" s="4" t="s">
        <v>85</v>
      </c>
      <c r="F199" s="5">
        <v>44.0</v>
      </c>
      <c r="G199" s="6">
        <v>37407.0</v>
      </c>
      <c r="H199" s="6">
        <v>45546.0</v>
      </c>
      <c r="I199" s="7">
        <v>9285.0</v>
      </c>
      <c r="J199" s="8" t="str">
        <f t="shared" si="1"/>
        <v>Fail</v>
      </c>
      <c r="K199" s="8" t="str">
        <f t="array" ref="K199">IFS(F199&gt;=90,"Excellent",F199&gt;=70,"Good",F199&gt;=50,"Average",F199&lt;50,"Poor")</f>
        <v>Poor</v>
      </c>
      <c r="L199" s="8" t="str">
        <f t="shared" si="2"/>
        <v>Mar</v>
      </c>
      <c r="M199" s="8" t="str">
        <f t="shared" si="3"/>
        <v>Desiree Camacho</v>
      </c>
      <c r="N199" s="8">
        <f t="shared" si="4"/>
        <v>6</v>
      </c>
      <c r="O199" s="8">
        <f t="shared" si="5"/>
        <v>23</v>
      </c>
      <c r="P199" s="8" t="str">
        <f t="shared" si="6"/>
        <v>September</v>
      </c>
      <c r="Q199" s="8">
        <f t="shared" si="7"/>
        <v>1</v>
      </c>
      <c r="R199" s="8" t="str">
        <f t="shared" si="8"/>
        <v>Not Eligible</v>
      </c>
      <c r="S199" s="8" t="str">
        <f t="shared" si="9"/>
        <v>False</v>
      </c>
      <c r="T199" s="9">
        <f t="shared" si="10"/>
        <v>4642.5</v>
      </c>
      <c r="U199" s="10"/>
    </row>
    <row r="200" ht="15.75" customHeight="1">
      <c r="A200" s="4" t="s">
        <v>519</v>
      </c>
      <c r="B200" s="4" t="s">
        <v>248</v>
      </c>
      <c r="C200" s="4" t="s">
        <v>520</v>
      </c>
      <c r="D200" s="4" t="s">
        <v>46</v>
      </c>
      <c r="E200" s="4" t="s">
        <v>47</v>
      </c>
      <c r="F200" s="5">
        <v>85.0</v>
      </c>
      <c r="G200" s="6">
        <v>36859.0</v>
      </c>
      <c r="H200" s="6">
        <v>43097.0</v>
      </c>
      <c r="I200" s="7">
        <v>4362.0</v>
      </c>
      <c r="J200" s="8" t="str">
        <f t="shared" si="1"/>
        <v>Pass</v>
      </c>
      <c r="K200" s="8" t="str">
        <f t="array" ref="K200">IFS(F200&gt;=90,"Excellent",F200&gt;=70,"Good",F200&gt;=50,"Average",F200&lt;50,"Poor")</f>
        <v>Good</v>
      </c>
      <c r="L200" s="8" t="str">
        <f t="shared" si="2"/>
        <v>Sal</v>
      </c>
      <c r="M200" s="8" t="str">
        <f t="shared" si="3"/>
        <v>Debra Payne</v>
      </c>
      <c r="N200" s="8">
        <f t="shared" si="4"/>
        <v>6</v>
      </c>
      <c r="O200" s="8">
        <f t="shared" si="5"/>
        <v>24</v>
      </c>
      <c r="P200" s="8" t="str">
        <f t="shared" si="6"/>
        <v>December</v>
      </c>
      <c r="Q200" s="8">
        <f t="shared" si="7"/>
        <v>7</v>
      </c>
      <c r="R200" s="8" t="str">
        <f t="shared" si="8"/>
        <v>Not Eligible</v>
      </c>
      <c r="S200" s="8" t="str">
        <f t="shared" si="9"/>
        <v>True</v>
      </c>
      <c r="T200" s="9">
        <f t="shared" si="10"/>
        <v>2181</v>
      </c>
      <c r="U200" s="10"/>
    </row>
    <row r="201" ht="15.75" customHeight="1">
      <c r="A201" s="4" t="s">
        <v>521</v>
      </c>
      <c r="B201" s="4" t="s">
        <v>144</v>
      </c>
      <c r="C201" s="4" t="s">
        <v>226</v>
      </c>
      <c r="D201" s="4" t="s">
        <v>75</v>
      </c>
      <c r="E201" s="4" t="s">
        <v>76</v>
      </c>
      <c r="F201" s="5">
        <v>45.0</v>
      </c>
      <c r="G201" s="6">
        <v>32876.0</v>
      </c>
      <c r="H201" s="6">
        <v>44268.0</v>
      </c>
      <c r="I201" s="7">
        <v>6821.0</v>
      </c>
      <c r="J201" s="8" t="str">
        <f t="shared" si="1"/>
        <v>Fail</v>
      </c>
      <c r="K201" s="8" t="str">
        <f t="array" ref="K201">IFS(F201&gt;=90,"Excellent",F201&gt;=70,"Good",F201&gt;=50,"Average",F201&lt;50,"Poor")</f>
        <v>Poor</v>
      </c>
      <c r="L201" s="8" t="str">
        <f t="shared" si="2"/>
        <v>Mar</v>
      </c>
      <c r="M201" s="8" t="str">
        <f t="shared" si="3"/>
        <v>Lisa Smith</v>
      </c>
      <c r="N201" s="8">
        <f t="shared" si="4"/>
        <v>6</v>
      </c>
      <c r="O201" s="8">
        <f t="shared" si="5"/>
        <v>35</v>
      </c>
      <c r="P201" s="8" t="str">
        <f t="shared" si="6"/>
        <v>March</v>
      </c>
      <c r="Q201" s="8">
        <f t="shared" si="7"/>
        <v>4</v>
      </c>
      <c r="R201" s="8" t="str">
        <f t="shared" si="8"/>
        <v>Eligible</v>
      </c>
      <c r="S201" s="8" t="str">
        <f t="shared" si="9"/>
        <v>False</v>
      </c>
      <c r="T201" s="9">
        <f t="shared" si="10"/>
        <v>3410.5</v>
      </c>
      <c r="U201" s="10"/>
    </row>
    <row r="202" ht="15.0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.57"/>
    <col customWidth="1" min="3" max="3" width="14.14"/>
    <col customWidth="1" min="4" max="4" width="15.57"/>
    <col customWidth="1" min="5" max="5" width="15.43"/>
    <col customWidth="1" min="6" max="6" width="21.29"/>
    <col customWidth="1" min="7" max="7" width="16.14"/>
    <col customWidth="1" min="8" max="8" width="13.29"/>
    <col customWidth="1" min="9" max="9" width="10.43"/>
    <col customWidth="1" min="11" max="11" width="21.86"/>
    <col customWidth="1" min="13" max="13" width="18.43"/>
    <col customWidth="1" min="14" max="14" width="15.14"/>
    <col customWidth="1" min="15" max="15" width="17.14"/>
    <col customWidth="1" min="16" max="16" width="11.86"/>
    <col customWidth="1" min="17" max="17" width="26.43"/>
    <col customWidth="1" min="18" max="18" width="17.29"/>
    <col customWidth="1" min="19" max="19" width="11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1" t="s">
        <v>7</v>
      </c>
      <c r="I1" s="12" t="s">
        <v>8</v>
      </c>
      <c r="J1" s="1" t="s">
        <v>9</v>
      </c>
      <c r="K1" s="1" t="s">
        <v>10</v>
      </c>
      <c r="L1" s="1" t="s">
        <v>522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523</v>
      </c>
      <c r="S1" s="1" t="s">
        <v>18</v>
      </c>
    </row>
    <row r="2" hidden="1">
      <c r="A2" s="13" t="s">
        <v>426</v>
      </c>
      <c r="B2" s="13" t="s">
        <v>427</v>
      </c>
      <c r="C2" s="13" t="s">
        <v>428</v>
      </c>
      <c r="D2" s="13" t="s">
        <v>46</v>
      </c>
      <c r="E2" s="13" t="s">
        <v>217</v>
      </c>
      <c r="F2" s="14">
        <v>68.0</v>
      </c>
      <c r="G2" s="15">
        <v>35648.0</v>
      </c>
      <c r="H2" s="15">
        <v>41258.0</v>
      </c>
      <c r="I2" s="10">
        <v>6485.0</v>
      </c>
      <c r="J2" s="13" t="str">
        <f t="shared" ref="J2:J201" si="1">IF(F2&gt;=50,"Pass","Fail")</f>
        <v>Pass</v>
      </c>
      <c r="K2" s="13" t="str">
        <f t="array" ref="K2">IFS(F2&gt;=90,"Excellent",F2&gt;=70,"Good",F2&gt;=50,"Average",F2&lt;50,"Poor")</f>
        <v>Average</v>
      </c>
      <c r="L2" s="13" t="str">
        <f t="shared" ref="L2:L201" si="2">LEFT(D2,3)</f>
        <v>Sal</v>
      </c>
      <c r="M2" s="13" t="str">
        <f t="shared" ref="M2:M201" si="3">CONCATENATE(B2," ",C2)</f>
        <v>Brittany Collier</v>
      </c>
      <c r="N2" s="13">
        <f t="shared" ref="N2:N201" si="4">LEN(A2)</f>
        <v>6</v>
      </c>
      <c r="O2" s="13">
        <f t="shared" ref="O2:O201" si="5">DATEDIF(G2,TODAY(),"y")</f>
        <v>28</v>
      </c>
      <c r="P2" s="13" t="str">
        <f t="shared" ref="P2:P201" si="6">TEXT(H2,"mmmm")</f>
        <v>December</v>
      </c>
      <c r="Q2" s="13">
        <f t="shared" ref="Q2:Q201" si="7">DATEDIF(H2,TODAY(),"y")</f>
        <v>12</v>
      </c>
      <c r="R2" s="13" t="str">
        <f t="shared" ref="R2:R201" si="8">IF(AND(O2&gt;25,Q2&gt;2),"Eligible","Not Eligible")</f>
        <v>Eligible</v>
      </c>
      <c r="S2" s="13" t="str">
        <f t="shared" ref="S2:S201" si="9">IF(OR(D2=$D$7,D2=$D$2),"True","False")</f>
        <v>True</v>
      </c>
    </row>
    <row r="3" hidden="1">
      <c r="A3" s="13" t="s">
        <v>214</v>
      </c>
      <c r="B3" s="13" t="s">
        <v>215</v>
      </c>
      <c r="C3" s="13" t="s">
        <v>216</v>
      </c>
      <c r="D3" s="13" t="s">
        <v>46</v>
      </c>
      <c r="E3" s="13" t="s">
        <v>217</v>
      </c>
      <c r="F3" s="14">
        <v>76.0</v>
      </c>
      <c r="G3" s="15">
        <v>34883.0</v>
      </c>
      <c r="H3" s="15">
        <v>41308.0</v>
      </c>
      <c r="I3" s="10">
        <v>7859.0</v>
      </c>
      <c r="J3" s="13" t="str">
        <f t="shared" si="1"/>
        <v>Pass</v>
      </c>
      <c r="K3" s="13" t="str">
        <f t="array" ref="K3">IFS(F3&gt;=90,"Excellent",F3&gt;=70,"Good",F3&gt;=50,"Average",F3&lt;50,"Poor")</f>
        <v>Good</v>
      </c>
      <c r="L3" s="13" t="str">
        <f t="shared" si="2"/>
        <v>Sal</v>
      </c>
      <c r="M3" s="13" t="str">
        <f t="shared" si="3"/>
        <v>Jennifer Hampton</v>
      </c>
      <c r="N3" s="13">
        <f t="shared" si="4"/>
        <v>6</v>
      </c>
      <c r="O3" s="13">
        <f t="shared" si="5"/>
        <v>30</v>
      </c>
      <c r="P3" s="13" t="str">
        <f t="shared" si="6"/>
        <v>February</v>
      </c>
      <c r="Q3" s="13">
        <f t="shared" si="7"/>
        <v>12</v>
      </c>
      <c r="R3" s="13" t="str">
        <f t="shared" si="8"/>
        <v>Eligible</v>
      </c>
      <c r="S3" s="13" t="str">
        <f t="shared" si="9"/>
        <v>True</v>
      </c>
    </row>
    <row r="4" hidden="1">
      <c r="A4" s="13" t="s">
        <v>80</v>
      </c>
      <c r="B4" s="13" t="s">
        <v>81</v>
      </c>
      <c r="C4" s="13" t="s">
        <v>82</v>
      </c>
      <c r="D4" s="13" t="s">
        <v>24</v>
      </c>
      <c r="E4" s="13" t="s">
        <v>25</v>
      </c>
      <c r="F4" s="14">
        <v>87.0</v>
      </c>
      <c r="G4" s="15">
        <v>31285.0</v>
      </c>
      <c r="H4" s="15">
        <v>41312.0</v>
      </c>
      <c r="I4" s="10">
        <v>6214.0</v>
      </c>
      <c r="J4" s="13" t="str">
        <f t="shared" si="1"/>
        <v>Pass</v>
      </c>
      <c r="K4" s="13" t="str">
        <f t="array" ref="K4">IFS(F4&gt;=90,"Excellent",F4&gt;=70,"Good",F4&gt;=50,"Average",F4&lt;50,"Poor")</f>
        <v>Good</v>
      </c>
      <c r="L4" s="13" t="str">
        <f t="shared" si="2"/>
        <v>IT</v>
      </c>
      <c r="M4" s="13" t="str">
        <f t="shared" si="3"/>
        <v>Teresa Gutierrez</v>
      </c>
      <c r="N4" s="13">
        <f t="shared" si="4"/>
        <v>6</v>
      </c>
      <c r="O4" s="13">
        <f t="shared" si="5"/>
        <v>40</v>
      </c>
      <c r="P4" s="13" t="str">
        <f t="shared" si="6"/>
        <v>February</v>
      </c>
      <c r="Q4" s="13">
        <f t="shared" si="7"/>
        <v>12</v>
      </c>
      <c r="R4" s="13" t="str">
        <f t="shared" si="8"/>
        <v>Eligible</v>
      </c>
      <c r="S4" s="13" t="str">
        <f t="shared" si="9"/>
        <v>False</v>
      </c>
    </row>
    <row r="5" hidden="1">
      <c r="A5" s="13" t="s">
        <v>72</v>
      </c>
      <c r="B5" s="13" t="s">
        <v>73</v>
      </c>
      <c r="C5" s="13" t="s">
        <v>74</v>
      </c>
      <c r="D5" s="13" t="s">
        <v>75</v>
      </c>
      <c r="E5" s="13" t="s">
        <v>76</v>
      </c>
      <c r="F5" s="14">
        <v>71.0</v>
      </c>
      <c r="G5" s="15">
        <v>35168.0</v>
      </c>
      <c r="H5" s="15">
        <v>41353.0</v>
      </c>
      <c r="I5" s="10">
        <v>4422.0</v>
      </c>
      <c r="J5" s="13" t="str">
        <f t="shared" si="1"/>
        <v>Pass</v>
      </c>
      <c r="K5" s="13" t="str">
        <f t="array" ref="K5">IFS(F5&gt;=90,"Excellent",F5&gt;=70,"Good",F5&gt;=50,"Average",F5&lt;50,"Poor")</f>
        <v>Good</v>
      </c>
      <c r="L5" s="13" t="str">
        <f t="shared" si="2"/>
        <v>Mar</v>
      </c>
      <c r="M5" s="13" t="str">
        <f t="shared" si="3"/>
        <v>Joanne Macdonald</v>
      </c>
      <c r="N5" s="13">
        <f t="shared" si="4"/>
        <v>6</v>
      </c>
      <c r="O5" s="13">
        <f t="shared" si="5"/>
        <v>29</v>
      </c>
      <c r="P5" s="13" t="str">
        <f t="shared" si="6"/>
        <v>March</v>
      </c>
      <c r="Q5" s="13">
        <f t="shared" si="7"/>
        <v>12</v>
      </c>
      <c r="R5" s="13" t="str">
        <f t="shared" si="8"/>
        <v>Eligible</v>
      </c>
      <c r="S5" s="13" t="str">
        <f t="shared" si="9"/>
        <v>False</v>
      </c>
    </row>
    <row r="6" hidden="1">
      <c r="A6" s="13" t="s">
        <v>312</v>
      </c>
      <c r="B6" s="13" t="s">
        <v>313</v>
      </c>
      <c r="C6" s="13" t="s">
        <v>314</v>
      </c>
      <c r="D6" s="13" t="s">
        <v>29</v>
      </c>
      <c r="E6" s="13" t="s">
        <v>30</v>
      </c>
      <c r="F6" s="14">
        <v>86.0</v>
      </c>
      <c r="G6" s="15">
        <v>34903.0</v>
      </c>
      <c r="H6" s="15">
        <v>41368.0</v>
      </c>
      <c r="I6" s="10">
        <v>8902.0</v>
      </c>
      <c r="J6" s="13" t="str">
        <f t="shared" si="1"/>
        <v>Pass</v>
      </c>
      <c r="K6" s="13" t="str">
        <f t="array" ref="K6">IFS(F6&gt;=90,"Excellent",F6&gt;=70,"Good",F6&gt;=50,"Average",F6&lt;50,"Poor")</f>
        <v>Good</v>
      </c>
      <c r="L6" s="13" t="str">
        <f t="shared" si="2"/>
        <v>Fin</v>
      </c>
      <c r="M6" s="13" t="str">
        <f t="shared" si="3"/>
        <v>Matthew Frazier</v>
      </c>
      <c r="N6" s="13">
        <f t="shared" si="4"/>
        <v>6</v>
      </c>
      <c r="O6" s="13">
        <f t="shared" si="5"/>
        <v>30</v>
      </c>
      <c r="P6" s="13" t="str">
        <f t="shared" si="6"/>
        <v>April</v>
      </c>
      <c r="Q6" s="13">
        <f t="shared" si="7"/>
        <v>12</v>
      </c>
      <c r="R6" s="13" t="str">
        <f t="shared" si="8"/>
        <v>Eligible</v>
      </c>
      <c r="S6" s="13" t="str">
        <f t="shared" si="9"/>
        <v>False</v>
      </c>
    </row>
    <row r="7" hidden="1">
      <c r="A7" s="13" t="s">
        <v>68</v>
      </c>
      <c r="B7" s="13" t="s">
        <v>69</v>
      </c>
      <c r="C7" s="13" t="s">
        <v>70</v>
      </c>
      <c r="D7" s="13" t="s">
        <v>34</v>
      </c>
      <c r="E7" s="13" t="s">
        <v>71</v>
      </c>
      <c r="F7" s="14">
        <v>73.0</v>
      </c>
      <c r="G7" s="15">
        <v>32734.0</v>
      </c>
      <c r="H7" s="15">
        <v>41374.0</v>
      </c>
      <c r="I7" s="10">
        <v>5458.0</v>
      </c>
      <c r="J7" s="13" t="str">
        <f t="shared" si="1"/>
        <v>Pass</v>
      </c>
      <c r="K7" s="13" t="str">
        <f t="array" ref="K7">IFS(F7&gt;=90,"Excellent",F7&gt;=70,"Good",F7&gt;=50,"Average",F7&lt;50,"Poor")</f>
        <v>Good</v>
      </c>
      <c r="L7" s="13" t="str">
        <f t="shared" si="2"/>
        <v>HR</v>
      </c>
      <c r="M7" s="13" t="str">
        <f t="shared" si="3"/>
        <v>Dana Hancock</v>
      </c>
      <c r="N7" s="13">
        <f t="shared" si="4"/>
        <v>6</v>
      </c>
      <c r="O7" s="13">
        <f t="shared" si="5"/>
        <v>36</v>
      </c>
      <c r="P7" s="13" t="str">
        <f t="shared" si="6"/>
        <v>April</v>
      </c>
      <c r="Q7" s="13">
        <f t="shared" si="7"/>
        <v>12</v>
      </c>
      <c r="R7" s="13" t="str">
        <f t="shared" si="8"/>
        <v>Eligible</v>
      </c>
      <c r="S7" s="13" t="str">
        <f t="shared" si="9"/>
        <v>True</v>
      </c>
    </row>
    <row r="8" hidden="1">
      <c r="A8" s="13" t="s">
        <v>385</v>
      </c>
      <c r="B8" s="13" t="s">
        <v>205</v>
      </c>
      <c r="C8" s="13" t="s">
        <v>56</v>
      </c>
      <c r="D8" s="13" t="s">
        <v>75</v>
      </c>
      <c r="E8" s="13" t="s">
        <v>85</v>
      </c>
      <c r="F8" s="14">
        <v>32.0</v>
      </c>
      <c r="G8" s="15">
        <v>36779.0</v>
      </c>
      <c r="H8" s="15">
        <v>41381.0</v>
      </c>
      <c r="I8" s="10">
        <v>7810.0</v>
      </c>
      <c r="J8" s="13" t="str">
        <f t="shared" si="1"/>
        <v>Fail</v>
      </c>
      <c r="K8" s="13" t="str">
        <f t="array" ref="K8">IFS(F8&gt;=90,"Excellent",F8&gt;=70,"Good",F8&gt;=50,"Average",F8&lt;50,"Poor")</f>
        <v>Poor</v>
      </c>
      <c r="L8" s="13" t="str">
        <f t="shared" si="2"/>
        <v>Mar</v>
      </c>
      <c r="M8" s="13" t="str">
        <f t="shared" si="3"/>
        <v>Joshua Torres</v>
      </c>
      <c r="N8" s="13">
        <f t="shared" si="4"/>
        <v>6</v>
      </c>
      <c r="O8" s="13">
        <f t="shared" si="5"/>
        <v>25</v>
      </c>
      <c r="P8" s="13" t="str">
        <f t="shared" si="6"/>
        <v>April</v>
      </c>
      <c r="Q8" s="13">
        <f t="shared" si="7"/>
        <v>12</v>
      </c>
      <c r="R8" s="13" t="str">
        <f t="shared" si="8"/>
        <v>Not Eligible</v>
      </c>
      <c r="S8" s="13" t="str">
        <f t="shared" si="9"/>
        <v>False</v>
      </c>
    </row>
    <row r="9" hidden="1">
      <c r="A9" s="13" t="s">
        <v>117</v>
      </c>
      <c r="B9" s="13" t="s">
        <v>118</v>
      </c>
      <c r="C9" s="13" t="s">
        <v>119</v>
      </c>
      <c r="D9" s="13" t="s">
        <v>24</v>
      </c>
      <c r="E9" s="13" t="s">
        <v>25</v>
      </c>
      <c r="F9" s="14">
        <v>97.0</v>
      </c>
      <c r="G9" s="15">
        <v>34153.0</v>
      </c>
      <c r="H9" s="15">
        <v>41419.0</v>
      </c>
      <c r="I9" s="10">
        <v>4833.0</v>
      </c>
      <c r="J9" s="13" t="str">
        <f t="shared" si="1"/>
        <v>Pass</v>
      </c>
      <c r="K9" s="13" t="str">
        <f t="array" ref="K9">IFS(F9&gt;=90,"Excellent",F9&gt;=70,"Good",F9&gt;=50,"Average",F9&lt;50,"Poor")</f>
        <v>Excellent</v>
      </c>
      <c r="L9" s="13" t="str">
        <f t="shared" si="2"/>
        <v>IT</v>
      </c>
      <c r="M9" s="13" t="str">
        <f t="shared" si="3"/>
        <v>Phillip Anderson</v>
      </c>
      <c r="N9" s="13">
        <f t="shared" si="4"/>
        <v>6</v>
      </c>
      <c r="O9" s="13">
        <f t="shared" si="5"/>
        <v>32</v>
      </c>
      <c r="P9" s="13" t="str">
        <f t="shared" si="6"/>
        <v>May</v>
      </c>
      <c r="Q9" s="13">
        <f t="shared" si="7"/>
        <v>12</v>
      </c>
      <c r="R9" s="13" t="str">
        <f t="shared" si="8"/>
        <v>Eligible</v>
      </c>
      <c r="S9" s="13" t="str">
        <f t="shared" si="9"/>
        <v>False</v>
      </c>
    </row>
    <row r="10" hidden="1">
      <c r="A10" s="13" t="s">
        <v>420</v>
      </c>
      <c r="B10" s="13" t="s">
        <v>22</v>
      </c>
      <c r="C10" s="13" t="s">
        <v>421</v>
      </c>
      <c r="D10" s="13" t="s">
        <v>29</v>
      </c>
      <c r="E10" s="13" t="s">
        <v>39</v>
      </c>
      <c r="F10" s="14">
        <v>64.0</v>
      </c>
      <c r="G10" s="15">
        <v>32479.0</v>
      </c>
      <c r="H10" s="15">
        <v>41422.0</v>
      </c>
      <c r="I10" s="10">
        <v>3454.0</v>
      </c>
      <c r="J10" s="13" t="str">
        <f t="shared" si="1"/>
        <v>Pass</v>
      </c>
      <c r="K10" s="13" t="str">
        <f t="array" ref="K10">IFS(F10&gt;=90,"Excellent",F10&gt;=70,"Good",F10&gt;=50,"Average",F10&lt;50,"Poor")</f>
        <v>Average</v>
      </c>
      <c r="L10" s="13" t="str">
        <f t="shared" si="2"/>
        <v>Fin</v>
      </c>
      <c r="M10" s="13" t="str">
        <f t="shared" si="3"/>
        <v>Michael Fernandez</v>
      </c>
      <c r="N10" s="13">
        <f t="shared" si="4"/>
        <v>6</v>
      </c>
      <c r="O10" s="13">
        <f t="shared" si="5"/>
        <v>36</v>
      </c>
      <c r="P10" s="13" t="str">
        <f t="shared" si="6"/>
        <v>May</v>
      </c>
      <c r="Q10" s="13">
        <f t="shared" si="7"/>
        <v>12</v>
      </c>
      <c r="R10" s="13" t="str">
        <f t="shared" si="8"/>
        <v>Eligible</v>
      </c>
      <c r="S10" s="13" t="str">
        <f t="shared" si="9"/>
        <v>False</v>
      </c>
    </row>
    <row r="11" hidden="1">
      <c r="A11" s="13" t="s">
        <v>463</v>
      </c>
      <c r="B11" s="13" t="s">
        <v>464</v>
      </c>
      <c r="C11" s="13" t="s">
        <v>136</v>
      </c>
      <c r="D11" s="13" t="s">
        <v>29</v>
      </c>
      <c r="E11" s="13" t="s">
        <v>39</v>
      </c>
      <c r="F11" s="14">
        <v>92.0</v>
      </c>
      <c r="G11" s="15">
        <v>33744.0</v>
      </c>
      <c r="H11" s="15">
        <v>41452.0</v>
      </c>
      <c r="I11" s="10">
        <v>8674.0</v>
      </c>
      <c r="J11" s="13" t="str">
        <f t="shared" si="1"/>
        <v>Pass</v>
      </c>
      <c r="K11" s="13" t="str">
        <f t="array" ref="K11">IFS(F11&gt;=90,"Excellent",F11&gt;=70,"Good",F11&gt;=50,"Average",F11&lt;50,"Poor")</f>
        <v>Excellent</v>
      </c>
      <c r="L11" s="13" t="str">
        <f t="shared" si="2"/>
        <v>Fin</v>
      </c>
      <c r="M11" s="13" t="str">
        <f t="shared" si="3"/>
        <v>Samantha Johnson</v>
      </c>
      <c r="N11" s="13">
        <f t="shared" si="4"/>
        <v>6</v>
      </c>
      <c r="O11" s="13">
        <f t="shared" si="5"/>
        <v>33</v>
      </c>
      <c r="P11" s="13" t="str">
        <f t="shared" si="6"/>
        <v>June</v>
      </c>
      <c r="Q11" s="13">
        <f t="shared" si="7"/>
        <v>12</v>
      </c>
      <c r="R11" s="13" t="str">
        <f t="shared" si="8"/>
        <v>Eligible</v>
      </c>
      <c r="S11" s="13" t="str">
        <f t="shared" si="9"/>
        <v>False</v>
      </c>
    </row>
    <row r="12" hidden="1">
      <c r="A12" s="13" t="s">
        <v>483</v>
      </c>
      <c r="B12" s="13" t="s">
        <v>270</v>
      </c>
      <c r="C12" s="13" t="s">
        <v>484</v>
      </c>
      <c r="D12" s="13" t="s">
        <v>75</v>
      </c>
      <c r="E12" s="13" t="s">
        <v>76</v>
      </c>
      <c r="F12" s="14">
        <v>31.0</v>
      </c>
      <c r="G12" s="15">
        <v>34015.0</v>
      </c>
      <c r="H12" s="15">
        <v>41503.0</v>
      </c>
      <c r="I12" s="10">
        <v>3425.0</v>
      </c>
      <c r="J12" s="13" t="str">
        <f t="shared" si="1"/>
        <v>Fail</v>
      </c>
      <c r="K12" s="13" t="str">
        <f t="array" ref="K12">IFS(F12&gt;=90,"Excellent",F12&gt;=70,"Good",F12&gt;=50,"Average",F12&lt;50,"Poor")</f>
        <v>Poor</v>
      </c>
      <c r="L12" s="13" t="str">
        <f t="shared" si="2"/>
        <v>Mar</v>
      </c>
      <c r="M12" s="13" t="str">
        <f t="shared" si="3"/>
        <v>Eric Hughes</v>
      </c>
      <c r="N12" s="13">
        <f t="shared" si="4"/>
        <v>6</v>
      </c>
      <c r="O12" s="13">
        <f t="shared" si="5"/>
        <v>32</v>
      </c>
      <c r="P12" s="13" t="str">
        <f t="shared" si="6"/>
        <v>August</v>
      </c>
      <c r="Q12" s="13">
        <f t="shared" si="7"/>
        <v>12</v>
      </c>
      <c r="R12" s="13" t="str">
        <f t="shared" si="8"/>
        <v>Eligible</v>
      </c>
      <c r="S12" s="13" t="str">
        <f t="shared" si="9"/>
        <v>False</v>
      </c>
    </row>
    <row r="13" hidden="1">
      <c r="A13" s="13" t="s">
        <v>435</v>
      </c>
      <c r="B13" s="13" t="s">
        <v>234</v>
      </c>
      <c r="C13" s="13" t="s">
        <v>436</v>
      </c>
      <c r="D13" s="13" t="s">
        <v>24</v>
      </c>
      <c r="E13" s="13" t="s">
        <v>89</v>
      </c>
      <c r="F13" s="14">
        <v>57.0</v>
      </c>
      <c r="G13" s="15">
        <v>33162.0</v>
      </c>
      <c r="H13" s="15">
        <v>41513.0</v>
      </c>
      <c r="I13" s="10">
        <v>6780.0</v>
      </c>
      <c r="J13" s="13" t="str">
        <f t="shared" si="1"/>
        <v>Pass</v>
      </c>
      <c r="K13" s="13" t="str">
        <f t="array" ref="K13">IFS(F13&gt;=90,"Excellent",F13&gt;=70,"Good",F13&gt;=50,"Average",F13&lt;50,"Poor")</f>
        <v>Average</v>
      </c>
      <c r="L13" s="13" t="str">
        <f t="shared" si="2"/>
        <v>IT</v>
      </c>
      <c r="M13" s="13" t="str">
        <f t="shared" si="3"/>
        <v>Robert Pierce</v>
      </c>
      <c r="N13" s="13">
        <f t="shared" si="4"/>
        <v>6</v>
      </c>
      <c r="O13" s="13">
        <f t="shared" si="5"/>
        <v>35</v>
      </c>
      <c r="P13" s="13" t="str">
        <f t="shared" si="6"/>
        <v>August</v>
      </c>
      <c r="Q13" s="13">
        <f t="shared" si="7"/>
        <v>12</v>
      </c>
      <c r="R13" s="13" t="str">
        <f t="shared" si="8"/>
        <v>Eligible</v>
      </c>
      <c r="S13" s="13" t="str">
        <f t="shared" si="9"/>
        <v>False</v>
      </c>
    </row>
    <row r="14" hidden="1">
      <c r="A14" s="13" t="s">
        <v>224</v>
      </c>
      <c r="B14" s="13" t="s">
        <v>225</v>
      </c>
      <c r="C14" s="13" t="s">
        <v>226</v>
      </c>
      <c r="D14" s="13" t="s">
        <v>46</v>
      </c>
      <c r="E14" s="13" t="s">
        <v>217</v>
      </c>
      <c r="F14" s="14">
        <v>67.0</v>
      </c>
      <c r="G14" s="15">
        <v>37792.0</v>
      </c>
      <c r="H14" s="15">
        <v>41574.0</v>
      </c>
      <c r="I14" s="10">
        <v>3376.0</v>
      </c>
      <c r="J14" s="13" t="str">
        <f t="shared" si="1"/>
        <v>Pass</v>
      </c>
      <c r="K14" s="13" t="str">
        <f t="array" ref="K14">IFS(F14&gt;=90,"Excellent",F14&gt;=70,"Good",F14&gt;=50,"Average",F14&lt;50,"Poor")</f>
        <v>Average</v>
      </c>
      <c r="L14" s="13" t="str">
        <f t="shared" si="2"/>
        <v>Sal</v>
      </c>
      <c r="M14" s="13" t="str">
        <f t="shared" si="3"/>
        <v>Margaret Smith</v>
      </c>
      <c r="N14" s="13">
        <f t="shared" si="4"/>
        <v>6</v>
      </c>
      <c r="O14" s="13">
        <f t="shared" si="5"/>
        <v>22</v>
      </c>
      <c r="P14" s="13" t="str">
        <f t="shared" si="6"/>
        <v>October</v>
      </c>
      <c r="Q14" s="13">
        <f t="shared" si="7"/>
        <v>12</v>
      </c>
      <c r="R14" s="13" t="str">
        <f t="shared" si="8"/>
        <v>Not Eligible</v>
      </c>
      <c r="S14" s="13" t="str">
        <f t="shared" si="9"/>
        <v>True</v>
      </c>
    </row>
    <row r="15" hidden="1">
      <c r="A15" s="13" t="s">
        <v>360</v>
      </c>
      <c r="B15" s="13" t="s">
        <v>361</v>
      </c>
      <c r="C15" s="13" t="s">
        <v>362</v>
      </c>
      <c r="D15" s="13" t="s">
        <v>34</v>
      </c>
      <c r="E15" s="13" t="s">
        <v>71</v>
      </c>
      <c r="F15" s="14">
        <v>45.0</v>
      </c>
      <c r="G15" s="15">
        <v>35174.0</v>
      </c>
      <c r="H15" s="15">
        <v>41586.0</v>
      </c>
      <c r="I15" s="10">
        <v>4167.0</v>
      </c>
      <c r="J15" s="13" t="str">
        <f t="shared" si="1"/>
        <v>Fail</v>
      </c>
      <c r="K15" s="13" t="str">
        <f t="array" ref="K15">IFS(F15&gt;=90,"Excellent",F15&gt;=70,"Good",F15&gt;=50,"Average",F15&lt;50,"Poor")</f>
        <v>Poor</v>
      </c>
      <c r="L15" s="13" t="str">
        <f t="shared" si="2"/>
        <v>HR</v>
      </c>
      <c r="M15" s="13" t="str">
        <f t="shared" si="3"/>
        <v>Stacy Williams</v>
      </c>
      <c r="N15" s="13">
        <f t="shared" si="4"/>
        <v>6</v>
      </c>
      <c r="O15" s="13">
        <f t="shared" si="5"/>
        <v>29</v>
      </c>
      <c r="P15" s="13" t="str">
        <f t="shared" si="6"/>
        <v>November</v>
      </c>
      <c r="Q15" s="13">
        <f t="shared" si="7"/>
        <v>11</v>
      </c>
      <c r="R15" s="13" t="str">
        <f t="shared" si="8"/>
        <v>Eligible</v>
      </c>
      <c r="S15" s="13" t="str">
        <f t="shared" si="9"/>
        <v>True</v>
      </c>
    </row>
    <row r="16" hidden="1">
      <c r="A16" s="13" t="s">
        <v>509</v>
      </c>
      <c r="B16" s="13" t="s">
        <v>468</v>
      </c>
      <c r="C16" s="13" t="s">
        <v>235</v>
      </c>
      <c r="D16" s="13" t="s">
        <v>46</v>
      </c>
      <c r="E16" s="13" t="s">
        <v>53</v>
      </c>
      <c r="F16" s="14">
        <v>71.0</v>
      </c>
      <c r="G16" s="15">
        <v>32356.0</v>
      </c>
      <c r="H16" s="15">
        <v>41593.0</v>
      </c>
      <c r="I16" s="10">
        <v>5979.0</v>
      </c>
      <c r="J16" s="13" t="str">
        <f t="shared" si="1"/>
        <v>Pass</v>
      </c>
      <c r="K16" s="13" t="str">
        <f t="array" ref="K16">IFS(F16&gt;=90,"Excellent",F16&gt;=70,"Good",F16&gt;=50,"Average",F16&lt;50,"Poor")</f>
        <v>Good</v>
      </c>
      <c r="L16" s="13" t="str">
        <f t="shared" si="2"/>
        <v>Sal</v>
      </c>
      <c r="M16" s="13" t="str">
        <f t="shared" si="3"/>
        <v>James Jones</v>
      </c>
      <c r="N16" s="13">
        <f t="shared" si="4"/>
        <v>6</v>
      </c>
      <c r="O16" s="13">
        <f t="shared" si="5"/>
        <v>37</v>
      </c>
      <c r="P16" s="13" t="str">
        <f t="shared" si="6"/>
        <v>November</v>
      </c>
      <c r="Q16" s="13">
        <f t="shared" si="7"/>
        <v>11</v>
      </c>
      <c r="R16" s="13" t="str">
        <f t="shared" si="8"/>
        <v>Eligible</v>
      </c>
      <c r="S16" s="13" t="str">
        <f t="shared" si="9"/>
        <v>True</v>
      </c>
    </row>
    <row r="17" hidden="1">
      <c r="A17" s="13" t="s">
        <v>462</v>
      </c>
      <c r="B17" s="13" t="s">
        <v>37</v>
      </c>
      <c r="C17" s="13" t="s">
        <v>452</v>
      </c>
      <c r="D17" s="13" t="s">
        <v>24</v>
      </c>
      <c r="E17" s="13" t="s">
        <v>25</v>
      </c>
      <c r="F17" s="14">
        <v>67.0</v>
      </c>
      <c r="G17" s="15">
        <v>37322.0</v>
      </c>
      <c r="H17" s="15">
        <v>41618.0</v>
      </c>
      <c r="I17" s="10">
        <v>5904.0</v>
      </c>
      <c r="J17" s="13" t="str">
        <f t="shared" si="1"/>
        <v>Pass</v>
      </c>
      <c r="K17" s="13" t="str">
        <f t="array" ref="K17">IFS(F17&gt;=90,"Excellent",F17&gt;=70,"Good",F17&gt;=50,"Average",F17&lt;50,"Poor")</f>
        <v>Average</v>
      </c>
      <c r="L17" s="13" t="str">
        <f t="shared" si="2"/>
        <v>IT</v>
      </c>
      <c r="M17" s="13" t="str">
        <f t="shared" si="3"/>
        <v>Joseph Gray</v>
      </c>
      <c r="N17" s="13">
        <f t="shared" si="4"/>
        <v>6</v>
      </c>
      <c r="O17" s="13">
        <f t="shared" si="5"/>
        <v>23</v>
      </c>
      <c r="P17" s="13" t="str">
        <f t="shared" si="6"/>
        <v>December</v>
      </c>
      <c r="Q17" s="13">
        <f t="shared" si="7"/>
        <v>11</v>
      </c>
      <c r="R17" s="13" t="str">
        <f t="shared" si="8"/>
        <v>Not Eligible</v>
      </c>
      <c r="S17" s="13" t="str">
        <f t="shared" si="9"/>
        <v>False</v>
      </c>
    </row>
    <row r="18" hidden="1">
      <c r="A18" s="13" t="s">
        <v>257</v>
      </c>
      <c r="B18" s="13" t="s">
        <v>258</v>
      </c>
      <c r="C18" s="13" t="s">
        <v>124</v>
      </c>
      <c r="D18" s="13" t="s">
        <v>24</v>
      </c>
      <c r="E18" s="13" t="s">
        <v>207</v>
      </c>
      <c r="F18" s="14">
        <v>47.0</v>
      </c>
      <c r="G18" s="15">
        <v>34645.0</v>
      </c>
      <c r="H18" s="15">
        <v>41642.0</v>
      </c>
      <c r="I18" s="10">
        <v>6075.0</v>
      </c>
      <c r="J18" s="13" t="str">
        <f t="shared" si="1"/>
        <v>Fail</v>
      </c>
      <c r="K18" s="13" t="str">
        <f t="array" ref="K18">IFS(F18&gt;=90,"Excellent",F18&gt;=70,"Good",F18&gt;=50,"Average",F18&lt;50,"Poor")</f>
        <v>Poor</v>
      </c>
      <c r="L18" s="13" t="str">
        <f t="shared" si="2"/>
        <v>IT</v>
      </c>
      <c r="M18" s="13" t="str">
        <f t="shared" si="3"/>
        <v>Cassandra Charles</v>
      </c>
      <c r="N18" s="13">
        <f t="shared" si="4"/>
        <v>6</v>
      </c>
      <c r="O18" s="13">
        <f t="shared" si="5"/>
        <v>30</v>
      </c>
      <c r="P18" s="13" t="str">
        <f t="shared" si="6"/>
        <v>January</v>
      </c>
      <c r="Q18" s="13">
        <f t="shared" si="7"/>
        <v>11</v>
      </c>
      <c r="R18" s="13" t="str">
        <f t="shared" si="8"/>
        <v>Eligible</v>
      </c>
      <c r="S18" s="13" t="str">
        <f t="shared" si="9"/>
        <v>False</v>
      </c>
    </row>
    <row r="19" hidden="1">
      <c r="A19" s="13" t="s">
        <v>114</v>
      </c>
      <c r="B19" s="13" t="s">
        <v>115</v>
      </c>
      <c r="C19" s="13" t="s">
        <v>116</v>
      </c>
      <c r="D19" s="13" t="s">
        <v>75</v>
      </c>
      <c r="E19" s="13" t="s">
        <v>76</v>
      </c>
      <c r="F19" s="14">
        <v>30.0</v>
      </c>
      <c r="G19" s="15">
        <v>36080.0</v>
      </c>
      <c r="H19" s="15">
        <v>41652.0</v>
      </c>
      <c r="I19" s="10">
        <v>4571.0</v>
      </c>
      <c r="J19" s="13" t="str">
        <f t="shared" si="1"/>
        <v>Fail</v>
      </c>
      <c r="K19" s="13" t="str">
        <f t="array" ref="K19">IFS(F19&gt;=90,"Excellent",F19&gt;=70,"Good",F19&gt;=50,"Average",F19&lt;50,"Poor")</f>
        <v>Poor</v>
      </c>
      <c r="L19" s="13" t="str">
        <f t="shared" si="2"/>
        <v>Mar</v>
      </c>
      <c r="M19" s="13" t="str">
        <f t="shared" si="3"/>
        <v>Jamie Ellison</v>
      </c>
      <c r="N19" s="13">
        <f t="shared" si="4"/>
        <v>6</v>
      </c>
      <c r="O19" s="13">
        <f t="shared" si="5"/>
        <v>27</v>
      </c>
      <c r="P19" s="13" t="str">
        <f t="shared" si="6"/>
        <v>January</v>
      </c>
      <c r="Q19" s="13">
        <f t="shared" si="7"/>
        <v>11</v>
      </c>
      <c r="R19" s="13" t="str">
        <f t="shared" si="8"/>
        <v>Eligible</v>
      </c>
      <c r="S19" s="13" t="str">
        <f t="shared" si="9"/>
        <v>False</v>
      </c>
    </row>
    <row r="20" hidden="1">
      <c r="A20" s="13" t="s">
        <v>63</v>
      </c>
      <c r="B20" s="13" t="s">
        <v>49</v>
      </c>
      <c r="C20" s="13" t="s">
        <v>64</v>
      </c>
      <c r="D20" s="13" t="s">
        <v>34</v>
      </c>
      <c r="E20" s="13" t="s">
        <v>35</v>
      </c>
      <c r="F20" s="14">
        <v>82.0</v>
      </c>
      <c r="G20" s="15">
        <v>32252.0</v>
      </c>
      <c r="H20" s="15">
        <v>41699.0</v>
      </c>
      <c r="I20" s="10">
        <v>4696.0</v>
      </c>
      <c r="J20" s="13" t="str">
        <f t="shared" si="1"/>
        <v>Pass</v>
      </c>
      <c r="K20" s="13" t="str">
        <f t="array" ref="K20">IFS(F20&gt;=90,"Excellent",F20&gt;=70,"Good",F20&gt;=50,"Average",F20&lt;50,"Poor")</f>
        <v>Good</v>
      </c>
      <c r="L20" s="13" t="str">
        <f t="shared" si="2"/>
        <v>HR</v>
      </c>
      <c r="M20" s="13" t="str">
        <f t="shared" si="3"/>
        <v>Christina Levine</v>
      </c>
      <c r="N20" s="13">
        <f t="shared" si="4"/>
        <v>6</v>
      </c>
      <c r="O20" s="13">
        <f t="shared" si="5"/>
        <v>37</v>
      </c>
      <c r="P20" s="13" t="str">
        <f t="shared" si="6"/>
        <v>March</v>
      </c>
      <c r="Q20" s="13">
        <f t="shared" si="7"/>
        <v>11</v>
      </c>
      <c r="R20" s="13" t="str">
        <f t="shared" si="8"/>
        <v>Eligible</v>
      </c>
      <c r="S20" s="13" t="str">
        <f t="shared" si="9"/>
        <v>True</v>
      </c>
    </row>
    <row r="21" ht="15.75" hidden="1" customHeight="1">
      <c r="A21" s="13" t="s">
        <v>319</v>
      </c>
      <c r="B21" s="13" t="s">
        <v>163</v>
      </c>
      <c r="C21" s="13" t="s">
        <v>320</v>
      </c>
      <c r="D21" s="13" t="s">
        <v>75</v>
      </c>
      <c r="E21" s="13" t="s">
        <v>85</v>
      </c>
      <c r="F21" s="14">
        <v>52.0</v>
      </c>
      <c r="G21" s="15">
        <v>33045.0</v>
      </c>
      <c r="H21" s="15">
        <v>41717.0</v>
      </c>
      <c r="I21" s="10">
        <v>3412.0</v>
      </c>
      <c r="J21" s="13" t="str">
        <f t="shared" si="1"/>
        <v>Pass</v>
      </c>
      <c r="K21" s="13" t="str">
        <f t="array" ref="K21">IFS(F21&gt;=90,"Excellent",F21&gt;=70,"Good",F21&gt;=50,"Average",F21&lt;50,"Poor")</f>
        <v>Average</v>
      </c>
      <c r="L21" s="13" t="str">
        <f t="shared" si="2"/>
        <v>Mar</v>
      </c>
      <c r="M21" s="13" t="str">
        <f t="shared" si="3"/>
        <v>Christopher Pratt</v>
      </c>
      <c r="N21" s="13">
        <f t="shared" si="4"/>
        <v>6</v>
      </c>
      <c r="O21" s="13">
        <f t="shared" si="5"/>
        <v>35</v>
      </c>
      <c r="P21" s="13" t="str">
        <f t="shared" si="6"/>
        <v>March</v>
      </c>
      <c r="Q21" s="13">
        <f t="shared" si="7"/>
        <v>11</v>
      </c>
      <c r="R21" s="13" t="str">
        <f t="shared" si="8"/>
        <v>Eligible</v>
      </c>
      <c r="S21" s="13" t="str">
        <f t="shared" si="9"/>
        <v>False</v>
      </c>
    </row>
    <row r="22" ht="15.75" hidden="1" customHeight="1">
      <c r="A22" s="13" t="s">
        <v>372</v>
      </c>
      <c r="B22" s="13" t="s">
        <v>219</v>
      </c>
      <c r="C22" s="13" t="s">
        <v>373</v>
      </c>
      <c r="D22" s="13" t="s">
        <v>46</v>
      </c>
      <c r="E22" s="13" t="s">
        <v>47</v>
      </c>
      <c r="F22" s="14">
        <v>58.0</v>
      </c>
      <c r="G22" s="15">
        <v>33645.0</v>
      </c>
      <c r="H22" s="15">
        <v>41721.0</v>
      </c>
      <c r="I22" s="10">
        <v>3537.0</v>
      </c>
      <c r="J22" s="13" t="str">
        <f t="shared" si="1"/>
        <v>Pass</v>
      </c>
      <c r="K22" s="13" t="str">
        <f t="array" ref="K22">IFS(F22&gt;=90,"Excellent",F22&gt;=70,"Good",F22&gt;=50,"Average",F22&lt;50,"Poor")</f>
        <v>Average</v>
      </c>
      <c r="L22" s="13" t="str">
        <f t="shared" si="2"/>
        <v>Sal</v>
      </c>
      <c r="M22" s="13" t="str">
        <f t="shared" si="3"/>
        <v>Anthony Russo</v>
      </c>
      <c r="N22" s="13">
        <f t="shared" si="4"/>
        <v>6</v>
      </c>
      <c r="O22" s="13">
        <f t="shared" si="5"/>
        <v>33</v>
      </c>
      <c r="P22" s="13" t="str">
        <f t="shared" si="6"/>
        <v>March</v>
      </c>
      <c r="Q22" s="13">
        <f t="shared" si="7"/>
        <v>11</v>
      </c>
      <c r="R22" s="13" t="str">
        <f t="shared" si="8"/>
        <v>Eligible</v>
      </c>
      <c r="S22" s="13" t="str">
        <f t="shared" si="9"/>
        <v>True</v>
      </c>
    </row>
    <row r="23" ht="15.75" hidden="1" customHeight="1">
      <c r="A23" s="13" t="s">
        <v>259</v>
      </c>
      <c r="B23" s="13" t="s">
        <v>260</v>
      </c>
      <c r="C23" s="13" t="s">
        <v>261</v>
      </c>
      <c r="D23" s="13" t="s">
        <v>34</v>
      </c>
      <c r="E23" s="13" t="s">
        <v>71</v>
      </c>
      <c r="F23" s="14">
        <v>92.0</v>
      </c>
      <c r="G23" s="15">
        <v>36976.0</v>
      </c>
      <c r="H23" s="15">
        <v>41728.0</v>
      </c>
      <c r="I23" s="10">
        <v>8462.0</v>
      </c>
      <c r="J23" s="13" t="str">
        <f t="shared" si="1"/>
        <v>Pass</v>
      </c>
      <c r="K23" s="13" t="str">
        <f t="array" ref="K23">IFS(F23&gt;=90,"Excellent",F23&gt;=70,"Good",F23&gt;=50,"Average",F23&lt;50,"Poor")</f>
        <v>Excellent</v>
      </c>
      <c r="L23" s="13" t="str">
        <f t="shared" si="2"/>
        <v>HR</v>
      </c>
      <c r="M23" s="13" t="str">
        <f t="shared" si="3"/>
        <v>Brandi Leon</v>
      </c>
      <c r="N23" s="13">
        <f t="shared" si="4"/>
        <v>6</v>
      </c>
      <c r="O23" s="13">
        <f t="shared" si="5"/>
        <v>24</v>
      </c>
      <c r="P23" s="13" t="str">
        <f t="shared" si="6"/>
        <v>March</v>
      </c>
      <c r="Q23" s="13">
        <f t="shared" si="7"/>
        <v>11</v>
      </c>
      <c r="R23" s="13" t="str">
        <f t="shared" si="8"/>
        <v>Not Eligible</v>
      </c>
      <c r="S23" s="13" t="str">
        <f t="shared" si="9"/>
        <v>True</v>
      </c>
    </row>
    <row r="24" ht="15.75" hidden="1" customHeight="1">
      <c r="A24" s="13" t="s">
        <v>211</v>
      </c>
      <c r="B24" s="13" t="s">
        <v>212</v>
      </c>
      <c r="C24" s="13" t="s">
        <v>213</v>
      </c>
      <c r="D24" s="13" t="s">
        <v>29</v>
      </c>
      <c r="E24" s="13" t="s">
        <v>39</v>
      </c>
      <c r="F24" s="14">
        <v>37.0</v>
      </c>
      <c r="G24" s="15">
        <v>33766.0</v>
      </c>
      <c r="H24" s="15">
        <v>41735.0</v>
      </c>
      <c r="I24" s="10">
        <v>4742.0</v>
      </c>
      <c r="J24" s="13" t="str">
        <f t="shared" si="1"/>
        <v>Fail</v>
      </c>
      <c r="K24" s="13" t="str">
        <f t="array" ref="K24">IFS(F24&gt;=90,"Excellent",F24&gt;=70,"Good",F24&gt;=50,"Average",F24&lt;50,"Poor")</f>
        <v>Poor</v>
      </c>
      <c r="L24" s="13" t="str">
        <f t="shared" si="2"/>
        <v>Fin</v>
      </c>
      <c r="M24" s="13" t="str">
        <f t="shared" si="3"/>
        <v>Rebecca Ellis</v>
      </c>
      <c r="N24" s="13">
        <f t="shared" si="4"/>
        <v>6</v>
      </c>
      <c r="O24" s="13">
        <f t="shared" si="5"/>
        <v>33</v>
      </c>
      <c r="P24" s="13" t="str">
        <f t="shared" si="6"/>
        <v>April</v>
      </c>
      <c r="Q24" s="13">
        <f t="shared" si="7"/>
        <v>11</v>
      </c>
      <c r="R24" s="13" t="str">
        <f t="shared" si="8"/>
        <v>Eligible</v>
      </c>
      <c r="S24" s="13" t="str">
        <f t="shared" si="9"/>
        <v>False</v>
      </c>
    </row>
    <row r="25" ht="15.75" hidden="1" customHeight="1">
      <c r="A25" s="13" t="s">
        <v>328</v>
      </c>
      <c r="B25" s="13" t="s">
        <v>234</v>
      </c>
      <c r="C25" s="13" t="s">
        <v>195</v>
      </c>
      <c r="D25" s="13" t="s">
        <v>34</v>
      </c>
      <c r="E25" s="13" t="s">
        <v>71</v>
      </c>
      <c r="F25" s="14">
        <v>72.0</v>
      </c>
      <c r="G25" s="15">
        <v>36782.0</v>
      </c>
      <c r="H25" s="15">
        <v>41751.0</v>
      </c>
      <c r="I25" s="10">
        <v>3532.0</v>
      </c>
      <c r="J25" s="13" t="str">
        <f t="shared" si="1"/>
        <v>Pass</v>
      </c>
      <c r="K25" s="13" t="str">
        <f t="array" ref="K25">IFS(F25&gt;=90,"Excellent",F25&gt;=70,"Good",F25&gt;=50,"Average",F25&lt;50,"Poor")</f>
        <v>Good</v>
      </c>
      <c r="L25" s="13" t="str">
        <f t="shared" si="2"/>
        <v>HR</v>
      </c>
      <c r="M25" s="13" t="str">
        <f t="shared" si="3"/>
        <v>Robert Austin</v>
      </c>
      <c r="N25" s="13">
        <f t="shared" si="4"/>
        <v>6</v>
      </c>
      <c r="O25" s="13">
        <f t="shared" si="5"/>
        <v>25</v>
      </c>
      <c r="P25" s="13" t="str">
        <f t="shared" si="6"/>
        <v>April</v>
      </c>
      <c r="Q25" s="13">
        <f t="shared" si="7"/>
        <v>11</v>
      </c>
      <c r="R25" s="13" t="str">
        <f t="shared" si="8"/>
        <v>Not Eligible</v>
      </c>
      <c r="S25" s="13" t="str">
        <f t="shared" si="9"/>
        <v>True</v>
      </c>
    </row>
    <row r="26" ht="15.75" hidden="1" customHeight="1">
      <c r="A26" s="13" t="s">
        <v>306</v>
      </c>
      <c r="B26" s="13" t="s">
        <v>69</v>
      </c>
      <c r="C26" s="13" t="s">
        <v>307</v>
      </c>
      <c r="D26" s="13" t="s">
        <v>24</v>
      </c>
      <c r="E26" s="13" t="s">
        <v>89</v>
      </c>
      <c r="F26" s="14">
        <v>69.0</v>
      </c>
      <c r="G26" s="15">
        <v>35837.0</v>
      </c>
      <c r="H26" s="15">
        <v>41768.0</v>
      </c>
      <c r="I26" s="10">
        <v>8093.0</v>
      </c>
      <c r="J26" s="13" t="str">
        <f t="shared" si="1"/>
        <v>Pass</v>
      </c>
      <c r="K26" s="13" t="str">
        <f t="array" ref="K26">IFS(F26&gt;=90,"Excellent",F26&gt;=70,"Good",F26&gt;=50,"Average",F26&lt;50,"Poor")</f>
        <v>Average</v>
      </c>
      <c r="L26" s="13" t="str">
        <f t="shared" si="2"/>
        <v>IT</v>
      </c>
      <c r="M26" s="13" t="str">
        <f t="shared" si="3"/>
        <v>Dana Rogers</v>
      </c>
      <c r="N26" s="13">
        <f t="shared" si="4"/>
        <v>6</v>
      </c>
      <c r="O26" s="13">
        <f t="shared" si="5"/>
        <v>27</v>
      </c>
      <c r="P26" s="13" t="str">
        <f t="shared" si="6"/>
        <v>May</v>
      </c>
      <c r="Q26" s="13">
        <f t="shared" si="7"/>
        <v>11</v>
      </c>
      <c r="R26" s="13" t="str">
        <f t="shared" si="8"/>
        <v>Eligible</v>
      </c>
      <c r="S26" s="13" t="str">
        <f t="shared" si="9"/>
        <v>False</v>
      </c>
    </row>
    <row r="27" ht="15.75" hidden="1" customHeight="1">
      <c r="A27" s="13" t="s">
        <v>184</v>
      </c>
      <c r="B27" s="13" t="s">
        <v>185</v>
      </c>
      <c r="C27" s="13" t="s">
        <v>186</v>
      </c>
      <c r="D27" s="13" t="s">
        <v>29</v>
      </c>
      <c r="E27" s="13" t="s">
        <v>39</v>
      </c>
      <c r="F27" s="14">
        <v>34.0</v>
      </c>
      <c r="G27" s="15">
        <v>33749.0</v>
      </c>
      <c r="H27" s="15">
        <v>41790.0</v>
      </c>
      <c r="I27" s="10">
        <v>5575.0</v>
      </c>
      <c r="J27" s="13" t="str">
        <f t="shared" si="1"/>
        <v>Fail</v>
      </c>
      <c r="K27" s="13" t="str">
        <f t="array" ref="K27">IFS(F27&gt;=90,"Excellent",F27&gt;=70,"Good",F27&gt;=50,"Average",F27&lt;50,"Poor")</f>
        <v>Poor</v>
      </c>
      <c r="L27" s="13" t="str">
        <f t="shared" si="2"/>
        <v>Fin</v>
      </c>
      <c r="M27" s="13" t="str">
        <f t="shared" si="3"/>
        <v>Scott Diaz</v>
      </c>
      <c r="N27" s="13">
        <f t="shared" si="4"/>
        <v>6</v>
      </c>
      <c r="O27" s="13">
        <f t="shared" si="5"/>
        <v>33</v>
      </c>
      <c r="P27" s="13" t="str">
        <f t="shared" si="6"/>
        <v>May</v>
      </c>
      <c r="Q27" s="13">
        <f t="shared" si="7"/>
        <v>11</v>
      </c>
      <c r="R27" s="13" t="str">
        <f t="shared" si="8"/>
        <v>Eligible</v>
      </c>
      <c r="S27" s="13" t="str">
        <f t="shared" si="9"/>
        <v>False</v>
      </c>
    </row>
    <row r="28" ht="15.75" hidden="1" customHeight="1">
      <c r="A28" s="13" t="s">
        <v>236</v>
      </c>
      <c r="B28" s="13" t="s">
        <v>132</v>
      </c>
      <c r="C28" s="13" t="s">
        <v>185</v>
      </c>
      <c r="D28" s="13" t="s">
        <v>29</v>
      </c>
      <c r="E28" s="13" t="s">
        <v>30</v>
      </c>
      <c r="F28" s="14">
        <v>87.0</v>
      </c>
      <c r="G28" s="15">
        <v>38056.0</v>
      </c>
      <c r="H28" s="15">
        <v>41932.0</v>
      </c>
      <c r="I28" s="10">
        <v>7121.0</v>
      </c>
      <c r="J28" s="13" t="str">
        <f t="shared" si="1"/>
        <v>Pass</v>
      </c>
      <c r="K28" s="13" t="str">
        <f t="array" ref="K28">IFS(F28&gt;=90,"Excellent",F28&gt;=70,"Good",F28&gt;=50,"Average",F28&lt;50,"Poor")</f>
        <v>Good</v>
      </c>
      <c r="L28" s="13" t="str">
        <f t="shared" si="2"/>
        <v>Fin</v>
      </c>
      <c r="M28" s="13" t="str">
        <f t="shared" si="3"/>
        <v>Kayla Scott</v>
      </c>
      <c r="N28" s="13">
        <f t="shared" si="4"/>
        <v>6</v>
      </c>
      <c r="O28" s="13">
        <f t="shared" si="5"/>
        <v>21</v>
      </c>
      <c r="P28" s="13" t="str">
        <f t="shared" si="6"/>
        <v>October</v>
      </c>
      <c r="Q28" s="13">
        <f t="shared" si="7"/>
        <v>11</v>
      </c>
      <c r="R28" s="13" t="str">
        <f t="shared" si="8"/>
        <v>Not Eligible</v>
      </c>
      <c r="S28" s="13" t="str">
        <f t="shared" si="9"/>
        <v>False</v>
      </c>
    </row>
    <row r="29" ht="15.75" hidden="1" customHeight="1">
      <c r="A29" s="13" t="s">
        <v>398</v>
      </c>
      <c r="B29" s="13" t="s">
        <v>399</v>
      </c>
      <c r="C29" s="13" t="s">
        <v>235</v>
      </c>
      <c r="D29" s="13" t="s">
        <v>46</v>
      </c>
      <c r="E29" s="13" t="s">
        <v>217</v>
      </c>
      <c r="F29" s="14">
        <v>52.0</v>
      </c>
      <c r="G29" s="15">
        <v>37364.0</v>
      </c>
      <c r="H29" s="15">
        <v>41941.0</v>
      </c>
      <c r="I29" s="10">
        <v>3230.0</v>
      </c>
      <c r="J29" s="13" t="str">
        <f t="shared" si="1"/>
        <v>Pass</v>
      </c>
      <c r="K29" s="13" t="str">
        <f t="array" ref="K29">IFS(F29&gt;=90,"Excellent",F29&gt;=70,"Good",F29&gt;=50,"Average",F29&lt;50,"Poor")</f>
        <v>Average</v>
      </c>
      <c r="L29" s="13" t="str">
        <f t="shared" si="2"/>
        <v>Sal</v>
      </c>
      <c r="M29" s="13" t="str">
        <f t="shared" si="3"/>
        <v>Lauren Jones</v>
      </c>
      <c r="N29" s="13">
        <f t="shared" si="4"/>
        <v>6</v>
      </c>
      <c r="O29" s="13">
        <f t="shared" si="5"/>
        <v>23</v>
      </c>
      <c r="P29" s="13" t="str">
        <f t="shared" si="6"/>
        <v>October</v>
      </c>
      <c r="Q29" s="13">
        <f t="shared" si="7"/>
        <v>11</v>
      </c>
      <c r="R29" s="13" t="str">
        <f t="shared" si="8"/>
        <v>Not Eligible</v>
      </c>
      <c r="S29" s="13" t="str">
        <f t="shared" si="9"/>
        <v>True</v>
      </c>
    </row>
    <row r="30" ht="15.75" hidden="1" customHeight="1">
      <c r="A30" s="13" t="s">
        <v>356</v>
      </c>
      <c r="B30" s="13" t="s">
        <v>172</v>
      </c>
      <c r="C30" s="13" t="s">
        <v>357</v>
      </c>
      <c r="D30" s="13" t="s">
        <v>24</v>
      </c>
      <c r="E30" s="13" t="s">
        <v>89</v>
      </c>
      <c r="F30" s="14">
        <v>70.0</v>
      </c>
      <c r="G30" s="15">
        <v>37433.0</v>
      </c>
      <c r="H30" s="15">
        <v>41949.0</v>
      </c>
      <c r="I30" s="10">
        <v>5474.0</v>
      </c>
      <c r="J30" s="13" t="str">
        <f t="shared" si="1"/>
        <v>Pass</v>
      </c>
      <c r="K30" s="13" t="str">
        <f t="array" ref="K30">IFS(F30&gt;=90,"Excellent",F30&gt;=70,"Good",F30&gt;=50,"Average",F30&lt;50,"Poor")</f>
        <v>Good</v>
      </c>
      <c r="L30" s="13" t="str">
        <f t="shared" si="2"/>
        <v>IT</v>
      </c>
      <c r="M30" s="13" t="str">
        <f t="shared" si="3"/>
        <v>Rachel Chang</v>
      </c>
      <c r="N30" s="13">
        <f t="shared" si="4"/>
        <v>6</v>
      </c>
      <c r="O30" s="13">
        <f t="shared" si="5"/>
        <v>23</v>
      </c>
      <c r="P30" s="13" t="str">
        <f t="shared" si="6"/>
        <v>November</v>
      </c>
      <c r="Q30" s="13">
        <f t="shared" si="7"/>
        <v>10</v>
      </c>
      <c r="R30" s="13" t="str">
        <f t="shared" si="8"/>
        <v>Not Eligible</v>
      </c>
      <c r="S30" s="13" t="str">
        <f t="shared" si="9"/>
        <v>False</v>
      </c>
    </row>
    <row r="31" ht="15.75" hidden="1" customHeight="1">
      <c r="A31" s="13" t="s">
        <v>240</v>
      </c>
      <c r="B31" s="13" t="s">
        <v>124</v>
      </c>
      <c r="C31" s="13" t="s">
        <v>241</v>
      </c>
      <c r="D31" s="13" t="s">
        <v>34</v>
      </c>
      <c r="E31" s="13" t="s">
        <v>35</v>
      </c>
      <c r="F31" s="14">
        <v>56.0</v>
      </c>
      <c r="G31" s="15">
        <v>36547.0</v>
      </c>
      <c r="H31" s="15">
        <v>42073.0</v>
      </c>
      <c r="I31" s="10">
        <v>8091.0</v>
      </c>
      <c r="J31" s="13" t="str">
        <f t="shared" si="1"/>
        <v>Pass</v>
      </c>
      <c r="K31" s="13" t="str">
        <f t="array" ref="K31">IFS(F31&gt;=90,"Excellent",F31&gt;=70,"Good",F31&gt;=50,"Average",F31&lt;50,"Poor")</f>
        <v>Average</v>
      </c>
      <c r="L31" s="13" t="str">
        <f t="shared" si="2"/>
        <v>HR</v>
      </c>
      <c r="M31" s="13" t="str">
        <f t="shared" si="3"/>
        <v>Charles Norton</v>
      </c>
      <c r="N31" s="13">
        <f t="shared" si="4"/>
        <v>6</v>
      </c>
      <c r="O31" s="13">
        <f t="shared" si="5"/>
        <v>25</v>
      </c>
      <c r="P31" s="13" t="str">
        <f t="shared" si="6"/>
        <v>March</v>
      </c>
      <c r="Q31" s="13">
        <f t="shared" si="7"/>
        <v>10</v>
      </c>
      <c r="R31" s="13" t="str">
        <f t="shared" si="8"/>
        <v>Not Eligible</v>
      </c>
      <c r="S31" s="13" t="str">
        <f t="shared" si="9"/>
        <v>True</v>
      </c>
    </row>
    <row r="32" ht="15.75" hidden="1" customHeight="1">
      <c r="A32" s="13" t="s">
        <v>274</v>
      </c>
      <c r="B32" s="13" t="s">
        <v>275</v>
      </c>
      <c r="C32" s="13" t="s">
        <v>246</v>
      </c>
      <c r="D32" s="13" t="s">
        <v>46</v>
      </c>
      <c r="E32" s="13" t="s">
        <v>47</v>
      </c>
      <c r="F32" s="14">
        <v>59.0</v>
      </c>
      <c r="G32" s="15">
        <v>33008.0</v>
      </c>
      <c r="H32" s="15">
        <v>42101.0</v>
      </c>
      <c r="I32" s="10">
        <v>4168.0</v>
      </c>
      <c r="J32" s="13" t="str">
        <f t="shared" si="1"/>
        <v>Pass</v>
      </c>
      <c r="K32" s="13" t="str">
        <f t="array" ref="K32">IFS(F32&gt;=90,"Excellent",F32&gt;=70,"Good",F32&gt;=50,"Average",F32&lt;50,"Poor")</f>
        <v>Average</v>
      </c>
      <c r="L32" s="13" t="str">
        <f t="shared" si="2"/>
        <v>Sal</v>
      </c>
      <c r="M32" s="13" t="str">
        <f t="shared" si="3"/>
        <v>Andrew Richards</v>
      </c>
      <c r="N32" s="13">
        <f t="shared" si="4"/>
        <v>6</v>
      </c>
      <c r="O32" s="13">
        <f t="shared" si="5"/>
        <v>35</v>
      </c>
      <c r="P32" s="13" t="str">
        <f t="shared" si="6"/>
        <v>April</v>
      </c>
      <c r="Q32" s="13">
        <f t="shared" si="7"/>
        <v>10</v>
      </c>
      <c r="R32" s="13" t="str">
        <f t="shared" si="8"/>
        <v>Eligible</v>
      </c>
      <c r="S32" s="13" t="str">
        <f t="shared" si="9"/>
        <v>True</v>
      </c>
    </row>
    <row r="33" ht="15.75" hidden="1" customHeight="1">
      <c r="A33" s="13" t="s">
        <v>342</v>
      </c>
      <c r="B33" s="13" t="s">
        <v>343</v>
      </c>
      <c r="C33" s="13" t="s">
        <v>344</v>
      </c>
      <c r="D33" s="13" t="s">
        <v>46</v>
      </c>
      <c r="E33" s="13" t="s">
        <v>217</v>
      </c>
      <c r="F33" s="14">
        <v>72.0</v>
      </c>
      <c r="G33" s="15">
        <v>34797.0</v>
      </c>
      <c r="H33" s="15">
        <v>42127.0</v>
      </c>
      <c r="I33" s="10">
        <v>4942.0</v>
      </c>
      <c r="J33" s="13" t="str">
        <f t="shared" si="1"/>
        <v>Pass</v>
      </c>
      <c r="K33" s="13" t="str">
        <f t="array" ref="K33">IFS(F33&gt;=90,"Excellent",F33&gt;=70,"Good",F33&gt;=50,"Average",F33&lt;50,"Poor")</f>
        <v>Good</v>
      </c>
      <c r="L33" s="13" t="str">
        <f t="shared" si="2"/>
        <v>Sal</v>
      </c>
      <c r="M33" s="13" t="str">
        <f t="shared" si="3"/>
        <v>Curtis Palmer</v>
      </c>
      <c r="N33" s="13">
        <f t="shared" si="4"/>
        <v>6</v>
      </c>
      <c r="O33" s="13">
        <f t="shared" si="5"/>
        <v>30</v>
      </c>
      <c r="P33" s="13" t="str">
        <f t="shared" si="6"/>
        <v>May</v>
      </c>
      <c r="Q33" s="13">
        <f t="shared" si="7"/>
        <v>10</v>
      </c>
      <c r="R33" s="13" t="str">
        <f t="shared" si="8"/>
        <v>Eligible</v>
      </c>
      <c r="S33" s="13" t="str">
        <f t="shared" si="9"/>
        <v>True</v>
      </c>
    </row>
    <row r="34" ht="15.75" hidden="1" customHeight="1">
      <c r="A34" s="13" t="s">
        <v>54</v>
      </c>
      <c r="B34" s="13" t="s">
        <v>55</v>
      </c>
      <c r="C34" s="13" t="s">
        <v>56</v>
      </c>
      <c r="D34" s="13" t="s">
        <v>29</v>
      </c>
      <c r="E34" s="13" t="s">
        <v>30</v>
      </c>
      <c r="F34" s="14">
        <v>64.0</v>
      </c>
      <c r="G34" s="15">
        <v>34267.0</v>
      </c>
      <c r="H34" s="15">
        <v>42130.0</v>
      </c>
      <c r="I34" s="10">
        <v>9480.0</v>
      </c>
      <c r="J34" s="13" t="str">
        <f t="shared" si="1"/>
        <v>Pass</v>
      </c>
      <c r="K34" s="13" t="str">
        <f t="array" ref="K34">IFS(F34&gt;=90,"Excellent",F34&gt;=70,"Good",F34&gt;=50,"Average",F34&lt;50,"Poor")</f>
        <v>Average</v>
      </c>
      <c r="L34" s="13" t="str">
        <f t="shared" si="2"/>
        <v>Fin</v>
      </c>
      <c r="M34" s="13" t="str">
        <f t="shared" si="3"/>
        <v>Mary Torres</v>
      </c>
      <c r="N34" s="13">
        <f t="shared" si="4"/>
        <v>6</v>
      </c>
      <c r="O34" s="13">
        <f t="shared" si="5"/>
        <v>32</v>
      </c>
      <c r="P34" s="13" t="str">
        <f t="shared" si="6"/>
        <v>May</v>
      </c>
      <c r="Q34" s="13">
        <f t="shared" si="7"/>
        <v>10</v>
      </c>
      <c r="R34" s="13" t="str">
        <f t="shared" si="8"/>
        <v>Eligible</v>
      </c>
      <c r="S34" s="13" t="str">
        <f t="shared" si="9"/>
        <v>False</v>
      </c>
    </row>
    <row r="35" ht="15.75" hidden="1" customHeight="1">
      <c r="A35" s="13" t="s">
        <v>429</v>
      </c>
      <c r="B35" s="13" t="s">
        <v>393</v>
      </c>
      <c r="C35" s="13" t="s">
        <v>404</v>
      </c>
      <c r="D35" s="13" t="s">
        <v>24</v>
      </c>
      <c r="E35" s="13" t="s">
        <v>207</v>
      </c>
      <c r="F35" s="14">
        <v>42.0</v>
      </c>
      <c r="G35" s="15">
        <v>37840.0</v>
      </c>
      <c r="H35" s="15">
        <v>42138.0</v>
      </c>
      <c r="I35" s="10">
        <v>8861.0</v>
      </c>
      <c r="J35" s="13" t="str">
        <f t="shared" si="1"/>
        <v>Fail</v>
      </c>
      <c r="K35" s="13" t="str">
        <f t="array" ref="K35">IFS(F35&gt;=90,"Excellent",F35&gt;=70,"Good",F35&gt;=50,"Average",F35&lt;50,"Poor")</f>
        <v>Poor</v>
      </c>
      <c r="L35" s="13" t="str">
        <f t="shared" si="2"/>
        <v>IT</v>
      </c>
      <c r="M35" s="13" t="str">
        <f t="shared" si="3"/>
        <v>Jerry Turner</v>
      </c>
      <c r="N35" s="13">
        <f t="shared" si="4"/>
        <v>6</v>
      </c>
      <c r="O35" s="13">
        <f t="shared" si="5"/>
        <v>22</v>
      </c>
      <c r="P35" s="13" t="str">
        <f t="shared" si="6"/>
        <v>May</v>
      </c>
      <c r="Q35" s="13">
        <f t="shared" si="7"/>
        <v>10</v>
      </c>
      <c r="R35" s="13" t="str">
        <f t="shared" si="8"/>
        <v>Not Eligible</v>
      </c>
      <c r="S35" s="13" t="str">
        <f t="shared" si="9"/>
        <v>False</v>
      </c>
    </row>
    <row r="36" ht="15.75" hidden="1" customHeight="1">
      <c r="A36" s="13" t="s">
        <v>318</v>
      </c>
      <c r="B36" s="13" t="s">
        <v>55</v>
      </c>
      <c r="C36" s="13" t="s">
        <v>133</v>
      </c>
      <c r="D36" s="13" t="s">
        <v>46</v>
      </c>
      <c r="E36" s="13" t="s">
        <v>47</v>
      </c>
      <c r="F36" s="14">
        <v>87.0</v>
      </c>
      <c r="G36" s="15">
        <v>36167.0</v>
      </c>
      <c r="H36" s="15">
        <v>42194.0</v>
      </c>
      <c r="I36" s="10">
        <v>8027.0</v>
      </c>
      <c r="J36" s="13" t="str">
        <f t="shared" si="1"/>
        <v>Pass</v>
      </c>
      <c r="K36" s="13" t="str">
        <f t="array" ref="K36">IFS(F36&gt;=90,"Excellent",F36&gt;=70,"Good",F36&gt;=50,"Average",F36&lt;50,"Poor")</f>
        <v>Good</v>
      </c>
      <c r="L36" s="13" t="str">
        <f t="shared" si="2"/>
        <v>Sal</v>
      </c>
      <c r="M36" s="13" t="str">
        <f t="shared" si="3"/>
        <v>Mary Hernandez</v>
      </c>
      <c r="N36" s="13">
        <f t="shared" si="4"/>
        <v>6</v>
      </c>
      <c r="O36" s="13">
        <f t="shared" si="5"/>
        <v>26</v>
      </c>
      <c r="P36" s="13" t="str">
        <f t="shared" si="6"/>
        <v>July</v>
      </c>
      <c r="Q36" s="13">
        <f t="shared" si="7"/>
        <v>10</v>
      </c>
      <c r="R36" s="13" t="str">
        <f t="shared" si="8"/>
        <v>Eligible</v>
      </c>
      <c r="S36" s="13" t="str">
        <f t="shared" si="9"/>
        <v>True</v>
      </c>
    </row>
    <row r="37" ht="15.75" hidden="1" customHeight="1">
      <c r="A37" s="13" t="s">
        <v>272</v>
      </c>
      <c r="B37" s="13" t="s">
        <v>273</v>
      </c>
      <c r="C37" s="13" t="s">
        <v>136</v>
      </c>
      <c r="D37" s="13" t="s">
        <v>24</v>
      </c>
      <c r="E37" s="13" t="s">
        <v>207</v>
      </c>
      <c r="F37" s="14">
        <v>61.0</v>
      </c>
      <c r="G37" s="15">
        <v>31348.0</v>
      </c>
      <c r="H37" s="15">
        <v>42195.0</v>
      </c>
      <c r="I37" s="10">
        <v>7775.0</v>
      </c>
      <c r="J37" s="13" t="str">
        <f t="shared" si="1"/>
        <v>Pass</v>
      </c>
      <c r="K37" s="13" t="str">
        <f t="array" ref="K37">IFS(F37&gt;=90,"Excellent",F37&gt;=70,"Good",F37&gt;=50,"Average",F37&lt;50,"Poor")</f>
        <v>Average</v>
      </c>
      <c r="L37" s="13" t="str">
        <f t="shared" si="2"/>
        <v>IT</v>
      </c>
      <c r="M37" s="13" t="str">
        <f t="shared" si="3"/>
        <v>Brent Johnson</v>
      </c>
      <c r="N37" s="13">
        <f t="shared" si="4"/>
        <v>6</v>
      </c>
      <c r="O37" s="13">
        <f t="shared" si="5"/>
        <v>40</v>
      </c>
      <c r="P37" s="13" t="str">
        <f t="shared" si="6"/>
        <v>July</v>
      </c>
      <c r="Q37" s="13">
        <f t="shared" si="7"/>
        <v>10</v>
      </c>
      <c r="R37" s="13" t="str">
        <f t="shared" si="8"/>
        <v>Eligible</v>
      </c>
      <c r="S37" s="13" t="str">
        <f t="shared" si="9"/>
        <v>False</v>
      </c>
    </row>
    <row r="38" ht="15.75" hidden="1" customHeight="1">
      <c r="A38" s="13" t="s">
        <v>496</v>
      </c>
      <c r="B38" s="13" t="s">
        <v>497</v>
      </c>
      <c r="C38" s="13" t="s">
        <v>498</v>
      </c>
      <c r="D38" s="13" t="s">
        <v>75</v>
      </c>
      <c r="E38" s="13" t="s">
        <v>76</v>
      </c>
      <c r="F38" s="14">
        <v>31.0</v>
      </c>
      <c r="G38" s="15">
        <v>33497.0</v>
      </c>
      <c r="H38" s="15">
        <v>42219.0</v>
      </c>
      <c r="I38" s="10">
        <v>4931.0</v>
      </c>
      <c r="J38" s="13" t="str">
        <f t="shared" si="1"/>
        <v>Fail</v>
      </c>
      <c r="K38" s="13" t="str">
        <f t="array" ref="K38">IFS(F38&gt;=90,"Excellent",F38&gt;=70,"Good",F38&gt;=50,"Average",F38&lt;50,"Poor")</f>
        <v>Poor</v>
      </c>
      <c r="L38" s="13" t="str">
        <f t="shared" si="2"/>
        <v>Mar</v>
      </c>
      <c r="M38" s="13" t="str">
        <f t="shared" si="3"/>
        <v>Kevin Marsh</v>
      </c>
      <c r="N38" s="13">
        <f t="shared" si="4"/>
        <v>6</v>
      </c>
      <c r="O38" s="13">
        <f t="shared" si="5"/>
        <v>34</v>
      </c>
      <c r="P38" s="13" t="str">
        <f t="shared" si="6"/>
        <v>August</v>
      </c>
      <c r="Q38" s="13">
        <f t="shared" si="7"/>
        <v>10</v>
      </c>
      <c r="R38" s="13" t="str">
        <f t="shared" si="8"/>
        <v>Eligible</v>
      </c>
      <c r="S38" s="13" t="str">
        <f t="shared" si="9"/>
        <v>False</v>
      </c>
    </row>
    <row r="39" ht="15.75" hidden="1" customHeight="1">
      <c r="A39" s="13" t="s">
        <v>461</v>
      </c>
      <c r="B39" s="13" t="s">
        <v>185</v>
      </c>
      <c r="C39" s="13" t="s">
        <v>136</v>
      </c>
      <c r="D39" s="13" t="s">
        <v>34</v>
      </c>
      <c r="E39" s="13" t="s">
        <v>35</v>
      </c>
      <c r="F39" s="14">
        <v>53.0</v>
      </c>
      <c r="G39" s="15">
        <v>36442.0</v>
      </c>
      <c r="H39" s="15">
        <v>42222.0</v>
      </c>
      <c r="I39" s="10">
        <v>8941.0</v>
      </c>
      <c r="J39" s="13" t="str">
        <f t="shared" si="1"/>
        <v>Pass</v>
      </c>
      <c r="K39" s="13" t="str">
        <f t="array" ref="K39">IFS(F39&gt;=90,"Excellent",F39&gt;=70,"Good",F39&gt;=50,"Average",F39&lt;50,"Poor")</f>
        <v>Average</v>
      </c>
      <c r="L39" s="13" t="str">
        <f t="shared" si="2"/>
        <v>HR</v>
      </c>
      <c r="M39" s="13" t="str">
        <f t="shared" si="3"/>
        <v>Scott Johnson</v>
      </c>
      <c r="N39" s="13">
        <f t="shared" si="4"/>
        <v>6</v>
      </c>
      <c r="O39" s="13">
        <f t="shared" si="5"/>
        <v>26</v>
      </c>
      <c r="P39" s="13" t="str">
        <f t="shared" si="6"/>
        <v>August</v>
      </c>
      <c r="Q39" s="13">
        <f t="shared" si="7"/>
        <v>10</v>
      </c>
      <c r="R39" s="13" t="str">
        <f t="shared" si="8"/>
        <v>Eligible</v>
      </c>
      <c r="S39" s="13" t="str">
        <f t="shared" si="9"/>
        <v>True</v>
      </c>
    </row>
    <row r="40" ht="15.75" hidden="1" customHeight="1">
      <c r="A40" s="13" t="s">
        <v>245</v>
      </c>
      <c r="B40" s="13" t="s">
        <v>163</v>
      </c>
      <c r="C40" s="13" t="s">
        <v>246</v>
      </c>
      <c r="D40" s="13" t="s">
        <v>24</v>
      </c>
      <c r="E40" s="13" t="s">
        <v>207</v>
      </c>
      <c r="F40" s="14">
        <v>69.0</v>
      </c>
      <c r="G40" s="15">
        <v>34841.0</v>
      </c>
      <c r="H40" s="15">
        <v>42236.0</v>
      </c>
      <c r="I40" s="10">
        <v>8753.0</v>
      </c>
      <c r="J40" s="13" t="str">
        <f t="shared" si="1"/>
        <v>Pass</v>
      </c>
      <c r="K40" s="13" t="str">
        <f t="array" ref="K40">IFS(F40&gt;=90,"Excellent",F40&gt;=70,"Good",F40&gt;=50,"Average",F40&lt;50,"Poor")</f>
        <v>Average</v>
      </c>
      <c r="L40" s="13" t="str">
        <f t="shared" si="2"/>
        <v>IT</v>
      </c>
      <c r="M40" s="13" t="str">
        <f t="shared" si="3"/>
        <v>Christopher Richards</v>
      </c>
      <c r="N40" s="13">
        <f t="shared" si="4"/>
        <v>6</v>
      </c>
      <c r="O40" s="13">
        <f t="shared" si="5"/>
        <v>30</v>
      </c>
      <c r="P40" s="13" t="str">
        <f t="shared" si="6"/>
        <v>August</v>
      </c>
      <c r="Q40" s="13">
        <f t="shared" si="7"/>
        <v>10</v>
      </c>
      <c r="R40" s="13" t="str">
        <f t="shared" si="8"/>
        <v>Eligible</v>
      </c>
      <c r="S40" s="13" t="str">
        <f t="shared" si="9"/>
        <v>False</v>
      </c>
    </row>
    <row r="41" ht="15.75" hidden="1" customHeight="1">
      <c r="A41" s="13" t="s">
        <v>281</v>
      </c>
      <c r="B41" s="13" t="s">
        <v>282</v>
      </c>
      <c r="C41" s="13" t="s">
        <v>223</v>
      </c>
      <c r="D41" s="13" t="s">
        <v>24</v>
      </c>
      <c r="E41" s="13" t="s">
        <v>207</v>
      </c>
      <c r="F41" s="14">
        <v>95.0</v>
      </c>
      <c r="G41" s="15">
        <v>34619.0</v>
      </c>
      <c r="H41" s="15">
        <v>42248.0</v>
      </c>
      <c r="I41" s="10">
        <v>8611.0</v>
      </c>
      <c r="J41" s="13" t="str">
        <f t="shared" si="1"/>
        <v>Pass</v>
      </c>
      <c r="K41" s="13" t="str">
        <f t="array" ref="K41">IFS(F41&gt;=90,"Excellent",F41&gt;=70,"Good",F41&gt;=50,"Average",F41&lt;50,"Poor")</f>
        <v>Excellent</v>
      </c>
      <c r="L41" s="13" t="str">
        <f t="shared" si="2"/>
        <v>IT</v>
      </c>
      <c r="M41" s="13" t="str">
        <f t="shared" si="3"/>
        <v>Karen Allen</v>
      </c>
      <c r="N41" s="13">
        <f t="shared" si="4"/>
        <v>6</v>
      </c>
      <c r="O41" s="13">
        <f t="shared" si="5"/>
        <v>31</v>
      </c>
      <c r="P41" s="13" t="str">
        <f t="shared" si="6"/>
        <v>September</v>
      </c>
      <c r="Q41" s="13">
        <f t="shared" si="7"/>
        <v>10</v>
      </c>
      <c r="R41" s="13" t="str">
        <f t="shared" si="8"/>
        <v>Eligible</v>
      </c>
      <c r="S41" s="13" t="str">
        <f t="shared" si="9"/>
        <v>False</v>
      </c>
    </row>
    <row r="42" ht="15.75" hidden="1" customHeight="1">
      <c r="A42" s="13" t="s">
        <v>499</v>
      </c>
      <c r="B42" s="13" t="s">
        <v>22</v>
      </c>
      <c r="C42" s="13" t="s">
        <v>203</v>
      </c>
      <c r="D42" s="13" t="s">
        <v>75</v>
      </c>
      <c r="E42" s="13" t="s">
        <v>85</v>
      </c>
      <c r="F42" s="14">
        <v>73.0</v>
      </c>
      <c r="G42" s="15">
        <v>34165.0</v>
      </c>
      <c r="H42" s="15">
        <v>42268.0</v>
      </c>
      <c r="I42" s="10">
        <v>4948.0</v>
      </c>
      <c r="J42" s="13" t="str">
        <f t="shared" si="1"/>
        <v>Pass</v>
      </c>
      <c r="K42" s="13" t="str">
        <f t="array" ref="K42">IFS(F42&gt;=90,"Excellent",F42&gt;=70,"Good",F42&gt;=50,"Average",F42&lt;50,"Poor")</f>
        <v>Good</v>
      </c>
      <c r="L42" s="13" t="str">
        <f t="shared" si="2"/>
        <v>Mar</v>
      </c>
      <c r="M42" s="13" t="str">
        <f t="shared" si="3"/>
        <v>Michael Parker</v>
      </c>
      <c r="N42" s="13">
        <f t="shared" si="4"/>
        <v>6</v>
      </c>
      <c r="O42" s="13">
        <f t="shared" si="5"/>
        <v>32</v>
      </c>
      <c r="P42" s="13" t="str">
        <f t="shared" si="6"/>
        <v>September</v>
      </c>
      <c r="Q42" s="13">
        <f t="shared" si="7"/>
        <v>10</v>
      </c>
      <c r="R42" s="13" t="str">
        <f t="shared" si="8"/>
        <v>Eligible</v>
      </c>
      <c r="S42" s="13" t="str">
        <f t="shared" si="9"/>
        <v>False</v>
      </c>
    </row>
    <row r="43" ht="15.75" hidden="1" customHeight="1">
      <c r="A43" s="13" t="s">
        <v>488</v>
      </c>
      <c r="B43" s="13" t="s">
        <v>489</v>
      </c>
      <c r="C43" s="13" t="s">
        <v>490</v>
      </c>
      <c r="D43" s="13" t="s">
        <v>75</v>
      </c>
      <c r="E43" s="13" t="s">
        <v>76</v>
      </c>
      <c r="F43" s="14">
        <v>41.0</v>
      </c>
      <c r="G43" s="15">
        <v>34626.0</v>
      </c>
      <c r="H43" s="15">
        <v>42296.0</v>
      </c>
      <c r="I43" s="10">
        <v>5266.0</v>
      </c>
      <c r="J43" s="13" t="str">
        <f t="shared" si="1"/>
        <v>Fail</v>
      </c>
      <c r="K43" s="13" t="str">
        <f t="array" ref="K43">IFS(F43&gt;=90,"Excellent",F43&gt;=70,"Good",F43&gt;=50,"Average",F43&lt;50,"Poor")</f>
        <v>Poor</v>
      </c>
      <c r="L43" s="13" t="str">
        <f t="shared" si="2"/>
        <v>Mar</v>
      </c>
      <c r="M43" s="13" t="str">
        <f t="shared" si="3"/>
        <v>Meagan Clark</v>
      </c>
      <c r="N43" s="13">
        <f t="shared" si="4"/>
        <v>6</v>
      </c>
      <c r="O43" s="13">
        <f t="shared" si="5"/>
        <v>31</v>
      </c>
      <c r="P43" s="13" t="str">
        <f t="shared" si="6"/>
        <v>October</v>
      </c>
      <c r="Q43" s="13">
        <f t="shared" si="7"/>
        <v>10</v>
      </c>
      <c r="R43" s="13" t="str">
        <f t="shared" si="8"/>
        <v>Eligible</v>
      </c>
      <c r="S43" s="13" t="str">
        <f t="shared" si="9"/>
        <v>False</v>
      </c>
    </row>
    <row r="44" ht="15.75" hidden="1" customHeight="1">
      <c r="A44" s="13" t="s">
        <v>472</v>
      </c>
      <c r="B44" s="13" t="s">
        <v>287</v>
      </c>
      <c r="C44" s="13" t="s">
        <v>473</v>
      </c>
      <c r="D44" s="13" t="s">
        <v>24</v>
      </c>
      <c r="E44" s="13" t="s">
        <v>89</v>
      </c>
      <c r="F44" s="14">
        <v>34.0</v>
      </c>
      <c r="G44" s="15">
        <v>38087.0</v>
      </c>
      <c r="H44" s="15">
        <v>42306.0</v>
      </c>
      <c r="I44" s="10">
        <v>4778.0</v>
      </c>
      <c r="J44" s="13" t="str">
        <f t="shared" si="1"/>
        <v>Fail</v>
      </c>
      <c r="K44" s="13" t="str">
        <f t="array" ref="K44">IFS(F44&gt;=90,"Excellent",F44&gt;=70,"Good",F44&gt;=50,"Average",F44&lt;50,"Poor")</f>
        <v>Poor</v>
      </c>
      <c r="L44" s="13" t="str">
        <f t="shared" si="2"/>
        <v>IT</v>
      </c>
      <c r="M44" s="13" t="str">
        <f t="shared" si="3"/>
        <v>Lindsey Cross</v>
      </c>
      <c r="N44" s="13">
        <f t="shared" si="4"/>
        <v>6</v>
      </c>
      <c r="O44" s="13">
        <f t="shared" si="5"/>
        <v>21</v>
      </c>
      <c r="P44" s="13" t="str">
        <f t="shared" si="6"/>
        <v>October</v>
      </c>
      <c r="Q44" s="13">
        <f t="shared" si="7"/>
        <v>10</v>
      </c>
      <c r="R44" s="13" t="str">
        <f t="shared" si="8"/>
        <v>Not Eligible</v>
      </c>
      <c r="S44" s="13" t="str">
        <f t="shared" si="9"/>
        <v>False</v>
      </c>
    </row>
    <row r="45" ht="15.75" hidden="1" customHeight="1">
      <c r="A45" s="13" t="s">
        <v>111</v>
      </c>
      <c r="B45" s="13" t="s">
        <v>112</v>
      </c>
      <c r="C45" s="13" t="s">
        <v>113</v>
      </c>
      <c r="D45" s="13" t="s">
        <v>46</v>
      </c>
      <c r="E45" s="13" t="s">
        <v>47</v>
      </c>
      <c r="F45" s="14">
        <v>37.0</v>
      </c>
      <c r="G45" s="15">
        <v>35085.0</v>
      </c>
      <c r="H45" s="15">
        <v>42311.0</v>
      </c>
      <c r="I45" s="10">
        <v>3969.0</v>
      </c>
      <c r="J45" s="13" t="str">
        <f t="shared" si="1"/>
        <v>Fail</v>
      </c>
      <c r="K45" s="13" t="str">
        <f t="array" ref="K45">IFS(F45&gt;=90,"Excellent",F45&gt;=70,"Good",F45&gt;=50,"Average",F45&lt;50,"Poor")</f>
        <v>Poor</v>
      </c>
      <c r="L45" s="13" t="str">
        <f t="shared" si="2"/>
        <v>Sal</v>
      </c>
      <c r="M45" s="13" t="str">
        <f t="shared" si="3"/>
        <v>Eileen Martin</v>
      </c>
      <c r="N45" s="13">
        <f t="shared" si="4"/>
        <v>6</v>
      </c>
      <c r="O45" s="13">
        <f t="shared" si="5"/>
        <v>29</v>
      </c>
      <c r="P45" s="13" t="str">
        <f t="shared" si="6"/>
        <v>November</v>
      </c>
      <c r="Q45" s="13">
        <f t="shared" si="7"/>
        <v>9</v>
      </c>
      <c r="R45" s="13" t="str">
        <f t="shared" si="8"/>
        <v>Eligible</v>
      </c>
      <c r="S45" s="13" t="str">
        <f t="shared" si="9"/>
        <v>True</v>
      </c>
    </row>
    <row r="46" ht="15.75" hidden="1" customHeight="1">
      <c r="A46" s="13" t="s">
        <v>510</v>
      </c>
      <c r="B46" s="13" t="s">
        <v>138</v>
      </c>
      <c r="C46" s="13" t="s">
        <v>226</v>
      </c>
      <c r="D46" s="13" t="s">
        <v>29</v>
      </c>
      <c r="E46" s="13" t="s">
        <v>30</v>
      </c>
      <c r="F46" s="14">
        <v>62.0</v>
      </c>
      <c r="G46" s="15">
        <v>37268.0</v>
      </c>
      <c r="H46" s="15">
        <v>42351.0</v>
      </c>
      <c r="I46" s="10">
        <v>5416.0</v>
      </c>
      <c r="J46" s="13" t="str">
        <f t="shared" si="1"/>
        <v>Pass</v>
      </c>
      <c r="K46" s="13" t="str">
        <f t="array" ref="K46">IFS(F46&gt;=90,"Excellent",F46&gt;=70,"Good",F46&gt;=50,"Average",F46&lt;50,"Poor")</f>
        <v>Average</v>
      </c>
      <c r="L46" s="13" t="str">
        <f t="shared" si="2"/>
        <v>Fin</v>
      </c>
      <c r="M46" s="13" t="str">
        <f t="shared" si="3"/>
        <v>Jeffrey Smith</v>
      </c>
      <c r="N46" s="13">
        <f t="shared" si="4"/>
        <v>6</v>
      </c>
      <c r="O46" s="13">
        <f t="shared" si="5"/>
        <v>23</v>
      </c>
      <c r="P46" s="13" t="str">
        <f t="shared" si="6"/>
        <v>December</v>
      </c>
      <c r="Q46" s="13">
        <f t="shared" si="7"/>
        <v>9</v>
      </c>
      <c r="R46" s="13" t="str">
        <f t="shared" si="8"/>
        <v>Not Eligible</v>
      </c>
      <c r="S46" s="13" t="str">
        <f t="shared" si="9"/>
        <v>False</v>
      </c>
    </row>
    <row r="47" ht="15.75" customHeight="1">
      <c r="A47" s="4" t="s">
        <v>193</v>
      </c>
      <c r="B47" s="4" t="s">
        <v>194</v>
      </c>
      <c r="C47" s="4" t="s">
        <v>195</v>
      </c>
      <c r="D47" s="4" t="s">
        <v>75</v>
      </c>
      <c r="E47" s="4" t="s">
        <v>85</v>
      </c>
      <c r="F47" s="5">
        <v>85.0</v>
      </c>
      <c r="G47" s="6">
        <v>33098.0</v>
      </c>
      <c r="H47" s="16">
        <v>42365.0</v>
      </c>
      <c r="I47" s="17">
        <v>5756.0</v>
      </c>
      <c r="J47" s="4" t="str">
        <f t="shared" si="1"/>
        <v>Pass</v>
      </c>
      <c r="K47" s="4" t="str">
        <f t="array" ref="K47">IFS(F47&gt;=90,"Excellent",F47&gt;=70,"Good",F47&gt;=50,"Average",F47&lt;50,"Poor")</f>
        <v>Good</v>
      </c>
      <c r="L47" s="4" t="str">
        <f t="shared" si="2"/>
        <v>Mar</v>
      </c>
      <c r="M47" s="4" t="str">
        <f t="shared" si="3"/>
        <v>Dawn Austin</v>
      </c>
      <c r="N47" s="4">
        <f t="shared" si="4"/>
        <v>6</v>
      </c>
      <c r="O47" s="4">
        <f t="shared" si="5"/>
        <v>35</v>
      </c>
      <c r="P47" s="4" t="str">
        <f t="shared" si="6"/>
        <v>December</v>
      </c>
      <c r="Q47" s="4">
        <f t="shared" si="7"/>
        <v>9</v>
      </c>
      <c r="R47" s="4" t="str">
        <f t="shared" si="8"/>
        <v>Eligible</v>
      </c>
      <c r="S47" s="4" t="str">
        <f t="shared" si="9"/>
        <v>False</v>
      </c>
    </row>
    <row r="48" ht="15.75" hidden="1" customHeight="1">
      <c r="A48" s="13" t="s">
        <v>422</v>
      </c>
      <c r="B48" s="13" t="s">
        <v>423</v>
      </c>
      <c r="C48" s="13" t="s">
        <v>128</v>
      </c>
      <c r="D48" s="13" t="s">
        <v>24</v>
      </c>
      <c r="E48" s="13" t="s">
        <v>25</v>
      </c>
      <c r="F48" s="14">
        <v>56.0</v>
      </c>
      <c r="G48" s="15">
        <v>37118.0</v>
      </c>
      <c r="H48" s="15">
        <v>42424.0</v>
      </c>
      <c r="I48" s="10">
        <v>4867.0</v>
      </c>
      <c r="J48" s="13" t="str">
        <f t="shared" si="1"/>
        <v>Pass</v>
      </c>
      <c r="K48" s="13" t="str">
        <f t="array" ref="K48">IFS(F48&gt;=90,"Excellent",F48&gt;=70,"Good",F48&gt;=50,"Average",F48&lt;50,"Poor")</f>
        <v>Average</v>
      </c>
      <c r="L48" s="13" t="str">
        <f t="shared" si="2"/>
        <v>IT</v>
      </c>
      <c r="M48" s="13" t="str">
        <f t="shared" si="3"/>
        <v>Drew Ford</v>
      </c>
      <c r="N48" s="13">
        <f t="shared" si="4"/>
        <v>6</v>
      </c>
      <c r="O48" s="13">
        <f t="shared" si="5"/>
        <v>24</v>
      </c>
      <c r="P48" s="13" t="str">
        <f t="shared" si="6"/>
        <v>February</v>
      </c>
      <c r="Q48" s="13">
        <f t="shared" si="7"/>
        <v>9</v>
      </c>
      <c r="R48" s="13" t="str">
        <f t="shared" si="8"/>
        <v>Not Eligible</v>
      </c>
      <c r="S48" s="13" t="str">
        <f t="shared" si="9"/>
        <v>False</v>
      </c>
    </row>
    <row r="49" ht="15.75" hidden="1" customHeight="1">
      <c r="A49" s="13" t="s">
        <v>345</v>
      </c>
      <c r="B49" s="13" t="s">
        <v>346</v>
      </c>
      <c r="C49" s="13" t="s">
        <v>347</v>
      </c>
      <c r="D49" s="13" t="s">
        <v>75</v>
      </c>
      <c r="E49" s="13" t="s">
        <v>76</v>
      </c>
      <c r="F49" s="14">
        <v>70.0</v>
      </c>
      <c r="G49" s="15">
        <v>32999.0</v>
      </c>
      <c r="H49" s="15">
        <v>42474.0</v>
      </c>
      <c r="I49" s="10">
        <v>8707.0</v>
      </c>
      <c r="J49" s="13" t="str">
        <f t="shared" si="1"/>
        <v>Pass</v>
      </c>
      <c r="K49" s="13" t="str">
        <f t="array" ref="K49">IFS(F49&gt;=90,"Excellent",F49&gt;=70,"Good",F49&gt;=50,"Average",F49&lt;50,"Poor")</f>
        <v>Good</v>
      </c>
      <c r="L49" s="13" t="str">
        <f t="shared" si="2"/>
        <v>Mar</v>
      </c>
      <c r="M49" s="13" t="str">
        <f t="shared" si="3"/>
        <v>Jill West</v>
      </c>
      <c r="N49" s="13">
        <f t="shared" si="4"/>
        <v>6</v>
      </c>
      <c r="O49" s="13">
        <f t="shared" si="5"/>
        <v>35</v>
      </c>
      <c r="P49" s="13" t="str">
        <f t="shared" si="6"/>
        <v>April</v>
      </c>
      <c r="Q49" s="13">
        <f t="shared" si="7"/>
        <v>9</v>
      </c>
      <c r="R49" s="13" t="str">
        <f t="shared" si="8"/>
        <v>Eligible</v>
      </c>
      <c r="S49" s="13" t="str">
        <f t="shared" si="9"/>
        <v>False</v>
      </c>
    </row>
    <row r="50" ht="15.75" hidden="1" customHeight="1">
      <c r="A50" s="13" t="s">
        <v>379</v>
      </c>
      <c r="B50" s="13" t="s">
        <v>55</v>
      </c>
      <c r="C50" s="13" t="s">
        <v>203</v>
      </c>
      <c r="D50" s="13" t="s">
        <v>29</v>
      </c>
      <c r="E50" s="13" t="s">
        <v>30</v>
      </c>
      <c r="F50" s="14">
        <v>57.0</v>
      </c>
      <c r="G50" s="15">
        <v>32388.0</v>
      </c>
      <c r="H50" s="15">
        <v>42505.0</v>
      </c>
      <c r="I50" s="10">
        <v>5597.0</v>
      </c>
      <c r="J50" s="13" t="str">
        <f t="shared" si="1"/>
        <v>Pass</v>
      </c>
      <c r="K50" s="13" t="str">
        <f t="array" ref="K50">IFS(F50&gt;=90,"Excellent",F50&gt;=70,"Good",F50&gt;=50,"Average",F50&lt;50,"Poor")</f>
        <v>Average</v>
      </c>
      <c r="L50" s="13" t="str">
        <f t="shared" si="2"/>
        <v>Fin</v>
      </c>
      <c r="M50" s="13" t="str">
        <f t="shared" si="3"/>
        <v>Mary Parker</v>
      </c>
      <c r="N50" s="13">
        <f t="shared" si="4"/>
        <v>6</v>
      </c>
      <c r="O50" s="13">
        <f t="shared" si="5"/>
        <v>37</v>
      </c>
      <c r="P50" s="13" t="str">
        <f t="shared" si="6"/>
        <v>May</v>
      </c>
      <c r="Q50" s="13">
        <f t="shared" si="7"/>
        <v>9</v>
      </c>
      <c r="R50" s="13" t="str">
        <f t="shared" si="8"/>
        <v>Eligible</v>
      </c>
      <c r="S50" s="13" t="str">
        <f t="shared" si="9"/>
        <v>False</v>
      </c>
    </row>
    <row r="51" ht="15.75" hidden="1" customHeight="1">
      <c r="A51" s="13" t="s">
        <v>354</v>
      </c>
      <c r="B51" s="13" t="s">
        <v>202</v>
      </c>
      <c r="C51" s="13" t="s">
        <v>355</v>
      </c>
      <c r="D51" s="13" t="s">
        <v>46</v>
      </c>
      <c r="E51" s="13" t="s">
        <v>53</v>
      </c>
      <c r="F51" s="14">
        <v>69.0</v>
      </c>
      <c r="G51" s="15">
        <v>35231.0</v>
      </c>
      <c r="H51" s="15">
        <v>42548.0</v>
      </c>
      <c r="I51" s="10">
        <v>6159.0</v>
      </c>
      <c r="J51" s="13" t="str">
        <f t="shared" si="1"/>
        <v>Pass</v>
      </c>
      <c r="K51" s="13" t="str">
        <f t="array" ref="K51">IFS(F51&gt;=90,"Excellent",F51&gt;=70,"Good",F51&gt;=50,"Average",F51&lt;50,"Poor")</f>
        <v>Average</v>
      </c>
      <c r="L51" s="13" t="str">
        <f t="shared" si="2"/>
        <v>Sal</v>
      </c>
      <c r="M51" s="13" t="str">
        <f t="shared" si="3"/>
        <v>Misty Cox</v>
      </c>
      <c r="N51" s="13">
        <f t="shared" si="4"/>
        <v>6</v>
      </c>
      <c r="O51" s="13">
        <f t="shared" si="5"/>
        <v>29</v>
      </c>
      <c r="P51" s="13" t="str">
        <f t="shared" si="6"/>
        <v>June</v>
      </c>
      <c r="Q51" s="13">
        <f t="shared" si="7"/>
        <v>9</v>
      </c>
      <c r="R51" s="13" t="str">
        <f t="shared" si="8"/>
        <v>Eligible</v>
      </c>
      <c r="S51" s="13" t="str">
        <f t="shared" si="9"/>
        <v>True</v>
      </c>
    </row>
    <row r="52" ht="15.75" hidden="1" customHeight="1">
      <c r="A52" s="13" t="s">
        <v>218</v>
      </c>
      <c r="B52" s="13" t="s">
        <v>219</v>
      </c>
      <c r="C52" s="13" t="s">
        <v>220</v>
      </c>
      <c r="D52" s="13" t="s">
        <v>34</v>
      </c>
      <c r="E52" s="13" t="s">
        <v>71</v>
      </c>
      <c r="F52" s="14">
        <v>57.0</v>
      </c>
      <c r="G52" s="15">
        <v>32092.0</v>
      </c>
      <c r="H52" s="15">
        <v>42565.0</v>
      </c>
      <c r="I52" s="10">
        <v>4516.0</v>
      </c>
      <c r="J52" s="13" t="str">
        <f t="shared" si="1"/>
        <v>Pass</v>
      </c>
      <c r="K52" s="13" t="str">
        <f t="array" ref="K52">IFS(F52&gt;=90,"Excellent",F52&gt;=70,"Good",F52&gt;=50,"Average",F52&lt;50,"Poor")</f>
        <v>Average</v>
      </c>
      <c r="L52" s="13" t="str">
        <f t="shared" si="2"/>
        <v>HR</v>
      </c>
      <c r="M52" s="13" t="str">
        <f t="shared" si="3"/>
        <v>Anthony Newman</v>
      </c>
      <c r="N52" s="13">
        <f t="shared" si="4"/>
        <v>6</v>
      </c>
      <c r="O52" s="13">
        <f t="shared" si="5"/>
        <v>37</v>
      </c>
      <c r="P52" s="13" t="str">
        <f t="shared" si="6"/>
        <v>July</v>
      </c>
      <c r="Q52" s="13">
        <f t="shared" si="7"/>
        <v>9</v>
      </c>
      <c r="R52" s="13" t="str">
        <f t="shared" si="8"/>
        <v>Eligible</v>
      </c>
      <c r="S52" s="13" t="str">
        <f t="shared" si="9"/>
        <v>True</v>
      </c>
    </row>
    <row r="53" ht="15.75" hidden="1" customHeight="1">
      <c r="A53" s="13" t="s">
        <v>301</v>
      </c>
      <c r="B53" s="13" t="s">
        <v>302</v>
      </c>
      <c r="C53" s="13" t="s">
        <v>142</v>
      </c>
      <c r="D53" s="13" t="s">
        <v>24</v>
      </c>
      <c r="E53" s="13" t="s">
        <v>25</v>
      </c>
      <c r="F53" s="14">
        <v>48.0</v>
      </c>
      <c r="G53" s="15">
        <v>37916.0</v>
      </c>
      <c r="H53" s="15">
        <v>42587.0</v>
      </c>
      <c r="I53" s="10">
        <v>5763.0</v>
      </c>
      <c r="J53" s="13" t="str">
        <f t="shared" si="1"/>
        <v>Fail</v>
      </c>
      <c r="K53" s="13" t="str">
        <f t="array" ref="K53">IFS(F53&gt;=90,"Excellent",F53&gt;=70,"Good",F53&gt;=50,"Average",F53&lt;50,"Poor")</f>
        <v>Poor</v>
      </c>
      <c r="L53" s="13" t="str">
        <f t="shared" si="2"/>
        <v>IT</v>
      </c>
      <c r="M53" s="13" t="str">
        <f t="shared" si="3"/>
        <v>Roger Stewart</v>
      </c>
      <c r="N53" s="13">
        <f t="shared" si="4"/>
        <v>6</v>
      </c>
      <c r="O53" s="13">
        <f t="shared" si="5"/>
        <v>22</v>
      </c>
      <c r="P53" s="13" t="str">
        <f t="shared" si="6"/>
        <v>August</v>
      </c>
      <c r="Q53" s="13">
        <f t="shared" si="7"/>
        <v>9</v>
      </c>
      <c r="R53" s="13" t="str">
        <f t="shared" si="8"/>
        <v>Not Eligible</v>
      </c>
      <c r="S53" s="13" t="str">
        <f t="shared" si="9"/>
        <v>False</v>
      </c>
    </row>
    <row r="54" ht="15.75" hidden="1" customHeight="1">
      <c r="A54" s="13" t="s">
        <v>407</v>
      </c>
      <c r="B54" s="13" t="s">
        <v>58</v>
      </c>
      <c r="C54" s="13" t="s">
        <v>408</v>
      </c>
      <c r="D54" s="13" t="s">
        <v>29</v>
      </c>
      <c r="E54" s="13" t="s">
        <v>39</v>
      </c>
      <c r="F54" s="14">
        <v>76.0</v>
      </c>
      <c r="G54" s="15">
        <v>31461.0</v>
      </c>
      <c r="H54" s="15">
        <v>42589.0</v>
      </c>
      <c r="I54" s="10">
        <v>6894.0</v>
      </c>
      <c r="J54" s="13" t="str">
        <f t="shared" si="1"/>
        <v>Pass</v>
      </c>
      <c r="K54" s="13" t="str">
        <f t="array" ref="K54">IFS(F54&gt;=90,"Excellent",F54&gt;=70,"Good",F54&gt;=50,"Average",F54&lt;50,"Poor")</f>
        <v>Good</v>
      </c>
      <c r="L54" s="13" t="str">
        <f t="shared" si="2"/>
        <v>Fin</v>
      </c>
      <c r="M54" s="13" t="str">
        <f t="shared" si="3"/>
        <v>David Mcneil</v>
      </c>
      <c r="N54" s="13">
        <f t="shared" si="4"/>
        <v>6</v>
      </c>
      <c r="O54" s="13">
        <f t="shared" si="5"/>
        <v>39</v>
      </c>
      <c r="P54" s="13" t="str">
        <f t="shared" si="6"/>
        <v>August</v>
      </c>
      <c r="Q54" s="13">
        <f t="shared" si="7"/>
        <v>9</v>
      </c>
      <c r="R54" s="13" t="str">
        <f t="shared" si="8"/>
        <v>Eligible</v>
      </c>
      <c r="S54" s="13" t="str">
        <f t="shared" si="9"/>
        <v>False</v>
      </c>
    </row>
    <row r="55" ht="15.75" hidden="1" customHeight="1">
      <c r="A55" s="13" t="s">
        <v>83</v>
      </c>
      <c r="B55" s="13" t="s">
        <v>58</v>
      </c>
      <c r="C55" s="13" t="s">
        <v>84</v>
      </c>
      <c r="D55" s="13" t="s">
        <v>75</v>
      </c>
      <c r="E55" s="13" t="s">
        <v>85</v>
      </c>
      <c r="F55" s="14">
        <v>65.0</v>
      </c>
      <c r="G55" s="15">
        <v>31429.0</v>
      </c>
      <c r="H55" s="15">
        <v>42595.0</v>
      </c>
      <c r="I55" s="10">
        <v>6043.0</v>
      </c>
      <c r="J55" s="13" t="str">
        <f t="shared" si="1"/>
        <v>Pass</v>
      </c>
      <c r="K55" s="13" t="str">
        <f t="array" ref="K55">IFS(F55&gt;=90,"Excellent",F55&gt;=70,"Good",F55&gt;=50,"Average",F55&lt;50,"Poor")</f>
        <v>Average</v>
      </c>
      <c r="L55" s="13" t="str">
        <f t="shared" si="2"/>
        <v>Mar</v>
      </c>
      <c r="M55" s="13" t="str">
        <f t="shared" si="3"/>
        <v>David Cowan</v>
      </c>
      <c r="N55" s="13">
        <f t="shared" si="4"/>
        <v>6</v>
      </c>
      <c r="O55" s="13">
        <f t="shared" si="5"/>
        <v>39</v>
      </c>
      <c r="P55" s="13" t="str">
        <f t="shared" si="6"/>
        <v>August</v>
      </c>
      <c r="Q55" s="13">
        <f t="shared" si="7"/>
        <v>9</v>
      </c>
      <c r="R55" s="13" t="str">
        <f t="shared" si="8"/>
        <v>Eligible</v>
      </c>
      <c r="S55" s="13" t="str">
        <f t="shared" si="9"/>
        <v>False</v>
      </c>
    </row>
    <row r="56" ht="15.75" hidden="1" customHeight="1">
      <c r="A56" s="13" t="s">
        <v>310</v>
      </c>
      <c r="B56" s="13" t="s">
        <v>311</v>
      </c>
      <c r="C56" s="13" t="s">
        <v>226</v>
      </c>
      <c r="D56" s="13" t="s">
        <v>24</v>
      </c>
      <c r="E56" s="13" t="s">
        <v>89</v>
      </c>
      <c r="F56" s="14">
        <v>87.0</v>
      </c>
      <c r="G56" s="15">
        <v>31949.0</v>
      </c>
      <c r="H56" s="15">
        <v>42610.0</v>
      </c>
      <c r="I56" s="10">
        <v>4798.0</v>
      </c>
      <c r="J56" s="13" t="str">
        <f t="shared" si="1"/>
        <v>Pass</v>
      </c>
      <c r="K56" s="13" t="str">
        <f t="array" ref="K56">IFS(F56&gt;=90,"Excellent",F56&gt;=70,"Good",F56&gt;=50,"Average",F56&lt;50,"Poor")</f>
        <v>Good</v>
      </c>
      <c r="L56" s="13" t="str">
        <f t="shared" si="2"/>
        <v>IT</v>
      </c>
      <c r="M56" s="13" t="str">
        <f t="shared" si="3"/>
        <v>Joan Smith</v>
      </c>
      <c r="N56" s="13">
        <f t="shared" si="4"/>
        <v>6</v>
      </c>
      <c r="O56" s="13">
        <f t="shared" si="5"/>
        <v>38</v>
      </c>
      <c r="P56" s="13" t="str">
        <f t="shared" si="6"/>
        <v>August</v>
      </c>
      <c r="Q56" s="13">
        <f t="shared" si="7"/>
        <v>9</v>
      </c>
      <c r="R56" s="13" t="str">
        <f t="shared" si="8"/>
        <v>Eligible</v>
      </c>
      <c r="S56" s="13" t="str">
        <f t="shared" si="9"/>
        <v>False</v>
      </c>
    </row>
    <row r="57" ht="15.75" hidden="1" customHeight="1">
      <c r="A57" s="13" t="s">
        <v>131</v>
      </c>
      <c r="B57" s="13" t="s">
        <v>132</v>
      </c>
      <c r="C57" s="13" t="s">
        <v>133</v>
      </c>
      <c r="D57" s="13" t="s">
        <v>29</v>
      </c>
      <c r="E57" s="13" t="s">
        <v>30</v>
      </c>
      <c r="F57" s="14">
        <v>41.0</v>
      </c>
      <c r="G57" s="15">
        <v>35652.0</v>
      </c>
      <c r="H57" s="15">
        <v>42632.0</v>
      </c>
      <c r="I57" s="10">
        <v>4422.0</v>
      </c>
      <c r="J57" s="13" t="str">
        <f t="shared" si="1"/>
        <v>Fail</v>
      </c>
      <c r="K57" s="13" t="str">
        <f t="array" ref="K57">IFS(F57&gt;=90,"Excellent",F57&gt;=70,"Good",F57&gt;=50,"Average",F57&lt;50,"Poor")</f>
        <v>Poor</v>
      </c>
      <c r="L57" s="13" t="str">
        <f t="shared" si="2"/>
        <v>Fin</v>
      </c>
      <c r="M57" s="13" t="str">
        <f t="shared" si="3"/>
        <v>Kayla Hernandez</v>
      </c>
      <c r="N57" s="13">
        <f t="shared" si="4"/>
        <v>6</v>
      </c>
      <c r="O57" s="13">
        <f t="shared" si="5"/>
        <v>28</v>
      </c>
      <c r="P57" s="13" t="str">
        <f t="shared" si="6"/>
        <v>September</v>
      </c>
      <c r="Q57" s="13">
        <f t="shared" si="7"/>
        <v>9</v>
      </c>
      <c r="R57" s="13" t="str">
        <f t="shared" si="8"/>
        <v>Eligible</v>
      </c>
      <c r="S57" s="13" t="str">
        <f t="shared" si="9"/>
        <v>False</v>
      </c>
    </row>
    <row r="58" ht="15.75" hidden="1" customHeight="1">
      <c r="A58" s="13" t="s">
        <v>376</v>
      </c>
      <c r="B58" s="13" t="s">
        <v>377</v>
      </c>
      <c r="C58" s="13" t="s">
        <v>355</v>
      </c>
      <c r="D58" s="13" t="s">
        <v>34</v>
      </c>
      <c r="E58" s="13" t="s">
        <v>71</v>
      </c>
      <c r="F58" s="14">
        <v>86.0</v>
      </c>
      <c r="G58" s="15">
        <v>34151.0</v>
      </c>
      <c r="H58" s="15">
        <v>42646.0</v>
      </c>
      <c r="I58" s="10">
        <v>5005.0</v>
      </c>
      <c r="J58" s="13" t="str">
        <f t="shared" si="1"/>
        <v>Pass</v>
      </c>
      <c r="K58" s="13" t="str">
        <f t="array" ref="K58">IFS(F58&gt;=90,"Excellent",F58&gt;=70,"Good",F58&gt;=50,"Average",F58&lt;50,"Poor")</f>
        <v>Good</v>
      </c>
      <c r="L58" s="13" t="str">
        <f t="shared" si="2"/>
        <v>HR</v>
      </c>
      <c r="M58" s="13" t="str">
        <f t="shared" si="3"/>
        <v>Timothy Cox</v>
      </c>
      <c r="N58" s="13">
        <f t="shared" si="4"/>
        <v>6</v>
      </c>
      <c r="O58" s="13">
        <f t="shared" si="5"/>
        <v>32</v>
      </c>
      <c r="P58" s="13" t="str">
        <f t="shared" si="6"/>
        <v>October</v>
      </c>
      <c r="Q58" s="13">
        <f t="shared" si="7"/>
        <v>9</v>
      </c>
      <c r="R58" s="13" t="str">
        <f t="shared" si="8"/>
        <v>Eligible</v>
      </c>
      <c r="S58" s="13" t="str">
        <f t="shared" si="9"/>
        <v>True</v>
      </c>
    </row>
    <row r="59" ht="15.75" hidden="1" customHeight="1">
      <c r="A59" s="13" t="s">
        <v>250</v>
      </c>
      <c r="B59" s="13" t="s">
        <v>103</v>
      </c>
      <c r="C59" s="13" t="s">
        <v>121</v>
      </c>
      <c r="D59" s="13" t="s">
        <v>29</v>
      </c>
      <c r="E59" s="13" t="s">
        <v>30</v>
      </c>
      <c r="F59" s="14">
        <v>93.0</v>
      </c>
      <c r="G59" s="15">
        <v>36731.0</v>
      </c>
      <c r="H59" s="15">
        <v>42683.0</v>
      </c>
      <c r="I59" s="10">
        <v>8983.0</v>
      </c>
      <c r="J59" s="13" t="str">
        <f t="shared" si="1"/>
        <v>Pass</v>
      </c>
      <c r="K59" s="13" t="str">
        <f t="array" ref="K59">IFS(F59&gt;=90,"Excellent",F59&gt;=70,"Good",F59&gt;=50,"Average",F59&lt;50,"Poor")</f>
        <v>Excellent</v>
      </c>
      <c r="L59" s="13" t="str">
        <f t="shared" si="2"/>
        <v>Fin</v>
      </c>
      <c r="M59" s="13" t="str">
        <f t="shared" si="3"/>
        <v>Stephanie Paul</v>
      </c>
      <c r="N59" s="13">
        <f t="shared" si="4"/>
        <v>6</v>
      </c>
      <c r="O59" s="13">
        <f t="shared" si="5"/>
        <v>25</v>
      </c>
      <c r="P59" s="13" t="str">
        <f t="shared" si="6"/>
        <v>November</v>
      </c>
      <c r="Q59" s="13">
        <f t="shared" si="7"/>
        <v>8</v>
      </c>
      <c r="R59" s="13" t="str">
        <f t="shared" si="8"/>
        <v>Not Eligible</v>
      </c>
      <c r="S59" s="13" t="str">
        <f t="shared" si="9"/>
        <v>False</v>
      </c>
    </row>
    <row r="60" ht="15.75" hidden="1" customHeight="1">
      <c r="A60" s="13" t="s">
        <v>242</v>
      </c>
      <c r="B60" s="13" t="s">
        <v>243</v>
      </c>
      <c r="C60" s="13" t="s">
        <v>244</v>
      </c>
      <c r="D60" s="13" t="s">
        <v>29</v>
      </c>
      <c r="E60" s="13" t="s">
        <v>30</v>
      </c>
      <c r="F60" s="14">
        <v>41.0</v>
      </c>
      <c r="G60" s="15">
        <v>36081.0</v>
      </c>
      <c r="H60" s="15">
        <v>42694.0</v>
      </c>
      <c r="I60" s="10">
        <v>6527.0</v>
      </c>
      <c r="J60" s="13" t="str">
        <f t="shared" si="1"/>
        <v>Fail</v>
      </c>
      <c r="K60" s="13" t="str">
        <f t="array" ref="K60">IFS(F60&gt;=90,"Excellent",F60&gt;=70,"Good",F60&gt;=50,"Average",F60&lt;50,"Poor")</f>
        <v>Poor</v>
      </c>
      <c r="L60" s="13" t="str">
        <f t="shared" si="2"/>
        <v>Fin</v>
      </c>
      <c r="M60" s="13" t="str">
        <f t="shared" si="3"/>
        <v>Cathy Bowen</v>
      </c>
      <c r="N60" s="13">
        <f t="shared" si="4"/>
        <v>6</v>
      </c>
      <c r="O60" s="13">
        <f t="shared" si="5"/>
        <v>27</v>
      </c>
      <c r="P60" s="13" t="str">
        <f t="shared" si="6"/>
        <v>November</v>
      </c>
      <c r="Q60" s="13">
        <f t="shared" si="7"/>
        <v>8</v>
      </c>
      <c r="R60" s="13" t="str">
        <f t="shared" si="8"/>
        <v>Eligible</v>
      </c>
      <c r="S60" s="13" t="str">
        <f t="shared" si="9"/>
        <v>False</v>
      </c>
    </row>
    <row r="61" ht="15.75" customHeight="1">
      <c r="A61" s="4" t="s">
        <v>146</v>
      </c>
      <c r="B61" s="4" t="s">
        <v>147</v>
      </c>
      <c r="C61" s="4" t="s">
        <v>148</v>
      </c>
      <c r="D61" s="4" t="s">
        <v>75</v>
      </c>
      <c r="E61" s="4" t="s">
        <v>76</v>
      </c>
      <c r="F61" s="5">
        <v>87.0</v>
      </c>
      <c r="G61" s="6">
        <v>34847.0</v>
      </c>
      <c r="H61" s="16">
        <v>42701.0</v>
      </c>
      <c r="I61" s="17">
        <v>6496.0</v>
      </c>
      <c r="J61" s="4" t="str">
        <f t="shared" si="1"/>
        <v>Pass</v>
      </c>
      <c r="K61" s="4" t="str">
        <f t="array" ref="K61">IFS(F61&gt;=90,"Excellent",F61&gt;=70,"Good",F61&gt;=50,"Average",F61&lt;50,"Poor")</f>
        <v>Good</v>
      </c>
      <c r="L61" s="4" t="str">
        <f t="shared" si="2"/>
        <v>Mar</v>
      </c>
      <c r="M61" s="4" t="str">
        <f t="shared" si="3"/>
        <v>Andrea Herrera</v>
      </c>
      <c r="N61" s="4">
        <f t="shared" si="4"/>
        <v>6</v>
      </c>
      <c r="O61" s="4">
        <f t="shared" si="5"/>
        <v>30</v>
      </c>
      <c r="P61" s="4" t="str">
        <f t="shared" si="6"/>
        <v>November</v>
      </c>
      <c r="Q61" s="4">
        <f t="shared" si="7"/>
        <v>8</v>
      </c>
      <c r="R61" s="4" t="str">
        <f t="shared" si="8"/>
        <v>Eligible</v>
      </c>
      <c r="S61" s="4" t="str">
        <f t="shared" si="9"/>
        <v>False</v>
      </c>
    </row>
    <row r="62" ht="15.75" hidden="1" customHeight="1">
      <c r="A62" s="13" t="s">
        <v>137</v>
      </c>
      <c r="B62" s="13" t="s">
        <v>138</v>
      </c>
      <c r="C62" s="13" t="s">
        <v>139</v>
      </c>
      <c r="D62" s="13" t="s">
        <v>46</v>
      </c>
      <c r="E62" s="13" t="s">
        <v>47</v>
      </c>
      <c r="F62" s="14">
        <v>72.0</v>
      </c>
      <c r="G62" s="15">
        <v>31462.0</v>
      </c>
      <c r="H62" s="15">
        <v>42702.0</v>
      </c>
      <c r="I62" s="10">
        <v>9085.0</v>
      </c>
      <c r="J62" s="13" t="str">
        <f t="shared" si="1"/>
        <v>Pass</v>
      </c>
      <c r="K62" s="13" t="str">
        <f t="array" ref="K62">IFS(F62&gt;=90,"Excellent",F62&gt;=70,"Good",F62&gt;=50,"Average",F62&lt;50,"Poor")</f>
        <v>Good</v>
      </c>
      <c r="L62" s="13" t="str">
        <f t="shared" si="2"/>
        <v>Sal</v>
      </c>
      <c r="M62" s="13" t="str">
        <f t="shared" si="3"/>
        <v>Jeffrey Little</v>
      </c>
      <c r="N62" s="13">
        <f t="shared" si="4"/>
        <v>6</v>
      </c>
      <c r="O62" s="13">
        <f t="shared" si="5"/>
        <v>39</v>
      </c>
      <c r="P62" s="13" t="str">
        <f t="shared" si="6"/>
        <v>November</v>
      </c>
      <c r="Q62" s="13">
        <f t="shared" si="7"/>
        <v>8</v>
      </c>
      <c r="R62" s="13" t="str">
        <f t="shared" si="8"/>
        <v>Eligible</v>
      </c>
      <c r="S62" s="13" t="str">
        <f t="shared" si="9"/>
        <v>True</v>
      </c>
    </row>
    <row r="63" ht="15.75" hidden="1" customHeight="1">
      <c r="A63" s="13" t="s">
        <v>266</v>
      </c>
      <c r="B63" s="13" t="s">
        <v>267</v>
      </c>
      <c r="C63" s="13" t="s">
        <v>268</v>
      </c>
      <c r="D63" s="13" t="s">
        <v>29</v>
      </c>
      <c r="E63" s="13" t="s">
        <v>30</v>
      </c>
      <c r="F63" s="14">
        <v>61.0</v>
      </c>
      <c r="G63" s="15">
        <v>32920.0</v>
      </c>
      <c r="H63" s="15">
        <v>42702.0</v>
      </c>
      <c r="I63" s="10">
        <v>7909.0</v>
      </c>
      <c r="J63" s="13" t="str">
        <f t="shared" si="1"/>
        <v>Pass</v>
      </c>
      <c r="K63" s="13" t="str">
        <f t="array" ref="K63">IFS(F63&gt;=90,"Excellent",F63&gt;=70,"Good",F63&gt;=50,"Average",F63&lt;50,"Poor")</f>
        <v>Average</v>
      </c>
      <c r="L63" s="13" t="str">
        <f t="shared" si="2"/>
        <v>Fin</v>
      </c>
      <c r="M63" s="13" t="str">
        <f t="shared" si="3"/>
        <v>Kristina Grant</v>
      </c>
      <c r="N63" s="13">
        <f t="shared" si="4"/>
        <v>6</v>
      </c>
      <c r="O63" s="13">
        <f t="shared" si="5"/>
        <v>35</v>
      </c>
      <c r="P63" s="13" t="str">
        <f t="shared" si="6"/>
        <v>November</v>
      </c>
      <c r="Q63" s="13">
        <f t="shared" si="7"/>
        <v>8</v>
      </c>
      <c r="R63" s="13" t="str">
        <f t="shared" si="8"/>
        <v>Eligible</v>
      </c>
      <c r="S63" s="13" t="str">
        <f t="shared" si="9"/>
        <v>False</v>
      </c>
    </row>
    <row r="64" ht="15.75" hidden="1" customHeight="1">
      <c r="A64" s="13" t="s">
        <v>187</v>
      </c>
      <c r="B64" s="13" t="s">
        <v>188</v>
      </c>
      <c r="C64" s="13" t="s">
        <v>189</v>
      </c>
      <c r="D64" s="13" t="s">
        <v>24</v>
      </c>
      <c r="E64" s="13" t="s">
        <v>89</v>
      </c>
      <c r="F64" s="14">
        <v>100.0</v>
      </c>
      <c r="G64" s="15">
        <v>33616.0</v>
      </c>
      <c r="H64" s="15">
        <v>42717.0</v>
      </c>
      <c r="I64" s="10">
        <v>9213.0</v>
      </c>
      <c r="J64" s="13" t="str">
        <f t="shared" si="1"/>
        <v>Pass</v>
      </c>
      <c r="K64" s="13" t="str">
        <f t="array" ref="K64">IFS(F64&gt;=90,"Excellent",F64&gt;=70,"Good",F64&gt;=50,"Average",F64&lt;50,"Poor")</f>
        <v>Excellent</v>
      </c>
      <c r="L64" s="13" t="str">
        <f t="shared" si="2"/>
        <v>IT</v>
      </c>
      <c r="M64" s="13" t="str">
        <f t="shared" si="3"/>
        <v>Kathleen Morris</v>
      </c>
      <c r="N64" s="13">
        <f t="shared" si="4"/>
        <v>6</v>
      </c>
      <c r="O64" s="13">
        <f t="shared" si="5"/>
        <v>33</v>
      </c>
      <c r="P64" s="13" t="str">
        <f t="shared" si="6"/>
        <v>December</v>
      </c>
      <c r="Q64" s="13">
        <f t="shared" si="7"/>
        <v>8</v>
      </c>
      <c r="R64" s="13" t="str">
        <f t="shared" si="8"/>
        <v>Eligible</v>
      </c>
      <c r="S64" s="13" t="str">
        <f t="shared" si="9"/>
        <v>False</v>
      </c>
    </row>
    <row r="65" ht="15.75" hidden="1" customHeight="1">
      <c r="A65" s="13" t="s">
        <v>437</v>
      </c>
      <c r="B65" s="13" t="s">
        <v>124</v>
      </c>
      <c r="C65" s="13" t="s">
        <v>438</v>
      </c>
      <c r="D65" s="13" t="s">
        <v>24</v>
      </c>
      <c r="E65" s="13" t="s">
        <v>25</v>
      </c>
      <c r="F65" s="14">
        <v>88.0</v>
      </c>
      <c r="G65" s="15">
        <v>37255.0</v>
      </c>
      <c r="H65" s="15">
        <v>42736.0</v>
      </c>
      <c r="I65" s="10">
        <v>6735.0</v>
      </c>
      <c r="J65" s="13" t="str">
        <f t="shared" si="1"/>
        <v>Pass</v>
      </c>
      <c r="K65" s="13" t="str">
        <f t="array" ref="K65">IFS(F65&gt;=90,"Excellent",F65&gt;=70,"Good",F65&gt;=50,"Average",F65&lt;50,"Poor")</f>
        <v>Good</v>
      </c>
      <c r="L65" s="13" t="str">
        <f t="shared" si="2"/>
        <v>IT</v>
      </c>
      <c r="M65" s="13" t="str">
        <f t="shared" si="3"/>
        <v>Charles Brown</v>
      </c>
      <c r="N65" s="13">
        <f t="shared" si="4"/>
        <v>6</v>
      </c>
      <c r="O65" s="13">
        <f t="shared" si="5"/>
        <v>23</v>
      </c>
      <c r="P65" s="13" t="str">
        <f t="shared" si="6"/>
        <v>January</v>
      </c>
      <c r="Q65" s="13">
        <f t="shared" si="7"/>
        <v>8</v>
      </c>
      <c r="R65" s="13" t="str">
        <f t="shared" si="8"/>
        <v>Not Eligible</v>
      </c>
      <c r="S65" s="13" t="str">
        <f t="shared" si="9"/>
        <v>False</v>
      </c>
    </row>
    <row r="66" ht="15.75" hidden="1" customHeight="1">
      <c r="A66" s="13" t="s">
        <v>264</v>
      </c>
      <c r="B66" s="13" t="s">
        <v>163</v>
      </c>
      <c r="C66" s="13" t="s">
        <v>265</v>
      </c>
      <c r="D66" s="13" t="s">
        <v>46</v>
      </c>
      <c r="E66" s="13" t="s">
        <v>47</v>
      </c>
      <c r="F66" s="14">
        <v>58.0</v>
      </c>
      <c r="G66" s="15">
        <v>33859.0</v>
      </c>
      <c r="H66" s="15">
        <v>42737.0</v>
      </c>
      <c r="I66" s="10">
        <v>8870.0</v>
      </c>
      <c r="J66" s="13" t="str">
        <f t="shared" si="1"/>
        <v>Pass</v>
      </c>
      <c r="K66" s="13" t="str">
        <f t="array" ref="K66">IFS(F66&gt;=90,"Excellent",F66&gt;=70,"Good",F66&gt;=50,"Average",F66&lt;50,"Poor")</f>
        <v>Average</v>
      </c>
      <c r="L66" s="13" t="str">
        <f t="shared" si="2"/>
        <v>Sal</v>
      </c>
      <c r="M66" s="13" t="str">
        <f t="shared" si="3"/>
        <v>Christopher Fields</v>
      </c>
      <c r="N66" s="13">
        <f t="shared" si="4"/>
        <v>6</v>
      </c>
      <c r="O66" s="13">
        <f t="shared" si="5"/>
        <v>33</v>
      </c>
      <c r="P66" s="13" t="str">
        <f t="shared" si="6"/>
        <v>January</v>
      </c>
      <c r="Q66" s="13">
        <f t="shared" si="7"/>
        <v>8</v>
      </c>
      <c r="R66" s="13" t="str">
        <f t="shared" si="8"/>
        <v>Eligible</v>
      </c>
      <c r="S66" s="13" t="str">
        <f t="shared" si="9"/>
        <v>True</v>
      </c>
    </row>
    <row r="67" ht="15.75" hidden="1" customHeight="1">
      <c r="A67" s="13" t="s">
        <v>57</v>
      </c>
      <c r="B67" s="13" t="s">
        <v>58</v>
      </c>
      <c r="C67" s="13" t="s">
        <v>59</v>
      </c>
      <c r="D67" s="13" t="s">
        <v>29</v>
      </c>
      <c r="E67" s="13" t="s">
        <v>30</v>
      </c>
      <c r="F67" s="14">
        <v>53.0</v>
      </c>
      <c r="G67" s="15">
        <v>37359.0</v>
      </c>
      <c r="H67" s="15">
        <v>42780.0</v>
      </c>
      <c r="I67" s="10">
        <v>7771.0</v>
      </c>
      <c r="J67" s="13" t="str">
        <f t="shared" si="1"/>
        <v>Pass</v>
      </c>
      <c r="K67" s="13" t="str">
        <f t="array" ref="K67">IFS(F67&gt;=90,"Excellent",F67&gt;=70,"Good",F67&gt;=50,"Average",F67&lt;50,"Poor")</f>
        <v>Average</v>
      </c>
      <c r="L67" s="13" t="str">
        <f t="shared" si="2"/>
        <v>Fin</v>
      </c>
      <c r="M67" s="13" t="str">
        <f t="shared" si="3"/>
        <v>David Rodriguez</v>
      </c>
      <c r="N67" s="13">
        <f t="shared" si="4"/>
        <v>6</v>
      </c>
      <c r="O67" s="13">
        <f t="shared" si="5"/>
        <v>23</v>
      </c>
      <c r="P67" s="13" t="str">
        <f t="shared" si="6"/>
        <v>February</v>
      </c>
      <c r="Q67" s="13">
        <f t="shared" si="7"/>
        <v>8</v>
      </c>
      <c r="R67" s="13" t="str">
        <f t="shared" si="8"/>
        <v>Not Eligible</v>
      </c>
      <c r="S67" s="13" t="str">
        <f t="shared" si="9"/>
        <v>False</v>
      </c>
    </row>
    <row r="68" ht="15.75" hidden="1" customHeight="1">
      <c r="A68" s="13" t="s">
        <v>486</v>
      </c>
      <c r="B68" s="13" t="s">
        <v>349</v>
      </c>
      <c r="C68" s="13" t="s">
        <v>487</v>
      </c>
      <c r="D68" s="13" t="s">
        <v>24</v>
      </c>
      <c r="E68" s="13" t="s">
        <v>25</v>
      </c>
      <c r="F68" s="14">
        <v>72.0</v>
      </c>
      <c r="G68" s="15">
        <v>34630.0</v>
      </c>
      <c r="H68" s="15">
        <v>42806.0</v>
      </c>
      <c r="I68" s="10">
        <v>7747.0</v>
      </c>
      <c r="J68" s="13" t="str">
        <f t="shared" si="1"/>
        <v>Pass</v>
      </c>
      <c r="K68" s="13" t="str">
        <f t="array" ref="K68">IFS(F68&gt;=90,"Excellent",F68&gt;=70,"Good",F68&gt;=50,"Average",F68&lt;50,"Poor")</f>
        <v>Good</v>
      </c>
      <c r="L68" s="13" t="str">
        <f t="shared" si="2"/>
        <v>IT</v>
      </c>
      <c r="M68" s="13" t="str">
        <f t="shared" si="3"/>
        <v>Zachary Casey</v>
      </c>
      <c r="N68" s="13">
        <f t="shared" si="4"/>
        <v>6</v>
      </c>
      <c r="O68" s="13">
        <f t="shared" si="5"/>
        <v>31</v>
      </c>
      <c r="P68" s="13" t="str">
        <f t="shared" si="6"/>
        <v>March</v>
      </c>
      <c r="Q68" s="13">
        <f t="shared" si="7"/>
        <v>8</v>
      </c>
      <c r="R68" s="13" t="str">
        <f t="shared" si="8"/>
        <v>Eligible</v>
      </c>
      <c r="S68" s="13" t="str">
        <f t="shared" si="9"/>
        <v>False</v>
      </c>
    </row>
    <row r="69" ht="15.75" hidden="1" customHeight="1">
      <c r="A69" s="13" t="s">
        <v>392</v>
      </c>
      <c r="B69" s="13" t="s">
        <v>393</v>
      </c>
      <c r="C69" s="13" t="s">
        <v>362</v>
      </c>
      <c r="D69" s="13" t="s">
        <v>29</v>
      </c>
      <c r="E69" s="13" t="s">
        <v>30</v>
      </c>
      <c r="F69" s="14">
        <v>39.0</v>
      </c>
      <c r="G69" s="15">
        <v>33522.0</v>
      </c>
      <c r="H69" s="15">
        <v>42838.0</v>
      </c>
      <c r="I69" s="10">
        <v>9430.0</v>
      </c>
      <c r="J69" s="13" t="str">
        <f t="shared" si="1"/>
        <v>Fail</v>
      </c>
      <c r="K69" s="13" t="str">
        <f t="array" ref="K69">IFS(F69&gt;=90,"Excellent",F69&gt;=70,"Good",F69&gt;=50,"Average",F69&lt;50,"Poor")</f>
        <v>Poor</v>
      </c>
      <c r="L69" s="13" t="str">
        <f t="shared" si="2"/>
        <v>Fin</v>
      </c>
      <c r="M69" s="13" t="str">
        <f t="shared" si="3"/>
        <v>Jerry Williams</v>
      </c>
      <c r="N69" s="13">
        <f t="shared" si="4"/>
        <v>6</v>
      </c>
      <c r="O69" s="13">
        <f t="shared" si="5"/>
        <v>34</v>
      </c>
      <c r="P69" s="13" t="str">
        <f t="shared" si="6"/>
        <v>April</v>
      </c>
      <c r="Q69" s="13">
        <f t="shared" si="7"/>
        <v>8</v>
      </c>
      <c r="R69" s="13" t="str">
        <f t="shared" si="8"/>
        <v>Eligible</v>
      </c>
      <c r="S69" s="13" t="str">
        <f t="shared" si="9"/>
        <v>False</v>
      </c>
    </row>
    <row r="70" ht="15.75" hidden="1" customHeight="1">
      <c r="A70" s="13" t="s">
        <v>338</v>
      </c>
      <c r="B70" s="13" t="s">
        <v>339</v>
      </c>
      <c r="C70" s="13" t="s">
        <v>226</v>
      </c>
      <c r="D70" s="13" t="s">
        <v>24</v>
      </c>
      <c r="E70" s="13" t="s">
        <v>207</v>
      </c>
      <c r="F70" s="14">
        <v>89.0</v>
      </c>
      <c r="G70" s="15">
        <v>31841.0</v>
      </c>
      <c r="H70" s="15">
        <v>42889.0</v>
      </c>
      <c r="I70" s="10">
        <v>8160.0</v>
      </c>
      <c r="J70" s="13" t="str">
        <f t="shared" si="1"/>
        <v>Pass</v>
      </c>
      <c r="K70" s="13" t="str">
        <f t="array" ref="K70">IFS(F70&gt;=90,"Excellent",F70&gt;=70,"Good",F70&gt;=50,"Average",F70&lt;50,"Poor")</f>
        <v>Good</v>
      </c>
      <c r="L70" s="13" t="str">
        <f t="shared" si="2"/>
        <v>IT</v>
      </c>
      <c r="M70" s="13" t="str">
        <f t="shared" si="3"/>
        <v>Natasha Smith</v>
      </c>
      <c r="N70" s="13">
        <f t="shared" si="4"/>
        <v>6</v>
      </c>
      <c r="O70" s="13">
        <f t="shared" si="5"/>
        <v>38</v>
      </c>
      <c r="P70" s="13" t="str">
        <f t="shared" si="6"/>
        <v>June</v>
      </c>
      <c r="Q70" s="13">
        <f t="shared" si="7"/>
        <v>8</v>
      </c>
      <c r="R70" s="13" t="str">
        <f t="shared" si="8"/>
        <v>Eligible</v>
      </c>
      <c r="S70" s="13" t="str">
        <f t="shared" si="9"/>
        <v>False</v>
      </c>
    </row>
    <row r="71" ht="15.75" hidden="1" customHeight="1">
      <c r="A71" s="13" t="s">
        <v>474</v>
      </c>
      <c r="B71" s="13" t="s">
        <v>475</v>
      </c>
      <c r="C71" s="13" t="s">
        <v>476</v>
      </c>
      <c r="D71" s="13" t="s">
        <v>34</v>
      </c>
      <c r="E71" s="13" t="s">
        <v>71</v>
      </c>
      <c r="F71" s="14">
        <v>93.0</v>
      </c>
      <c r="G71" s="15">
        <v>31087.0</v>
      </c>
      <c r="H71" s="15">
        <v>42977.0</v>
      </c>
      <c r="I71" s="10">
        <v>8640.0</v>
      </c>
      <c r="J71" s="13" t="str">
        <f t="shared" si="1"/>
        <v>Pass</v>
      </c>
      <c r="K71" s="13" t="str">
        <f t="array" ref="K71">IFS(F71&gt;=90,"Excellent",F71&gt;=70,"Good",F71&gt;=50,"Average",F71&lt;50,"Poor")</f>
        <v>Excellent</v>
      </c>
      <c r="L71" s="13" t="str">
        <f t="shared" si="2"/>
        <v>HR</v>
      </c>
      <c r="M71" s="13" t="str">
        <f t="shared" si="3"/>
        <v>Evan Kent</v>
      </c>
      <c r="N71" s="13">
        <f t="shared" si="4"/>
        <v>6</v>
      </c>
      <c r="O71" s="13">
        <f t="shared" si="5"/>
        <v>40</v>
      </c>
      <c r="P71" s="13" t="str">
        <f t="shared" si="6"/>
        <v>August</v>
      </c>
      <c r="Q71" s="13">
        <f t="shared" si="7"/>
        <v>8</v>
      </c>
      <c r="R71" s="13" t="str">
        <f t="shared" si="8"/>
        <v>Eligible</v>
      </c>
      <c r="S71" s="13" t="str">
        <f t="shared" si="9"/>
        <v>True</v>
      </c>
    </row>
    <row r="72" ht="15.75" hidden="1" customHeight="1">
      <c r="A72" s="13" t="s">
        <v>227</v>
      </c>
      <c r="B72" s="13" t="s">
        <v>228</v>
      </c>
      <c r="C72" s="13" t="s">
        <v>229</v>
      </c>
      <c r="D72" s="13" t="s">
        <v>29</v>
      </c>
      <c r="E72" s="13" t="s">
        <v>39</v>
      </c>
      <c r="F72" s="14">
        <v>89.0</v>
      </c>
      <c r="G72" s="15">
        <v>36815.0</v>
      </c>
      <c r="H72" s="15">
        <v>42978.0</v>
      </c>
      <c r="I72" s="10">
        <v>8857.0</v>
      </c>
      <c r="J72" s="13" t="str">
        <f t="shared" si="1"/>
        <v>Pass</v>
      </c>
      <c r="K72" s="13" t="str">
        <f t="array" ref="K72">IFS(F72&gt;=90,"Excellent",F72&gt;=70,"Good",F72&gt;=50,"Average",F72&lt;50,"Poor")</f>
        <v>Good</v>
      </c>
      <c r="L72" s="13" t="str">
        <f t="shared" si="2"/>
        <v>Fin</v>
      </c>
      <c r="M72" s="13" t="str">
        <f t="shared" si="3"/>
        <v>Jose Griffin</v>
      </c>
      <c r="N72" s="13">
        <f t="shared" si="4"/>
        <v>6</v>
      </c>
      <c r="O72" s="13">
        <f t="shared" si="5"/>
        <v>25</v>
      </c>
      <c r="P72" s="13" t="str">
        <f t="shared" si="6"/>
        <v>August</v>
      </c>
      <c r="Q72" s="13">
        <f t="shared" si="7"/>
        <v>8</v>
      </c>
      <c r="R72" s="13" t="str">
        <f t="shared" si="8"/>
        <v>Not Eligible</v>
      </c>
      <c r="S72" s="13" t="str">
        <f t="shared" si="9"/>
        <v>False</v>
      </c>
    </row>
    <row r="73" ht="15.75" hidden="1" customHeight="1">
      <c r="A73" s="13" t="s">
        <v>154</v>
      </c>
      <c r="B73" s="13" t="s">
        <v>155</v>
      </c>
      <c r="C73" s="13" t="s">
        <v>156</v>
      </c>
      <c r="D73" s="13" t="s">
        <v>34</v>
      </c>
      <c r="E73" s="13" t="s">
        <v>71</v>
      </c>
      <c r="F73" s="14">
        <v>54.0</v>
      </c>
      <c r="G73" s="15">
        <v>36112.0</v>
      </c>
      <c r="H73" s="15">
        <v>43021.0</v>
      </c>
      <c r="I73" s="10">
        <v>7676.0</v>
      </c>
      <c r="J73" s="13" t="str">
        <f t="shared" si="1"/>
        <v>Pass</v>
      </c>
      <c r="K73" s="13" t="str">
        <f t="array" ref="K73">IFS(F73&gt;=90,"Excellent",F73&gt;=70,"Good",F73&gt;=50,"Average",F73&lt;50,"Poor")</f>
        <v>Average</v>
      </c>
      <c r="L73" s="13" t="str">
        <f t="shared" si="2"/>
        <v>HR</v>
      </c>
      <c r="M73" s="13" t="str">
        <f t="shared" si="3"/>
        <v>Stacey Miranda</v>
      </c>
      <c r="N73" s="13">
        <f t="shared" si="4"/>
        <v>6</v>
      </c>
      <c r="O73" s="13">
        <f t="shared" si="5"/>
        <v>26</v>
      </c>
      <c r="P73" s="13" t="str">
        <f t="shared" si="6"/>
        <v>October</v>
      </c>
      <c r="Q73" s="13">
        <f t="shared" si="7"/>
        <v>8</v>
      </c>
      <c r="R73" s="13" t="str">
        <f t="shared" si="8"/>
        <v>Eligible</v>
      </c>
      <c r="S73" s="13" t="str">
        <f t="shared" si="9"/>
        <v>True</v>
      </c>
    </row>
    <row r="74" ht="15.75" hidden="1" customHeight="1">
      <c r="A74" s="13" t="s">
        <v>60</v>
      </c>
      <c r="B74" s="13" t="s">
        <v>61</v>
      </c>
      <c r="C74" s="13" t="s">
        <v>62</v>
      </c>
      <c r="D74" s="13" t="s">
        <v>29</v>
      </c>
      <c r="E74" s="13" t="s">
        <v>30</v>
      </c>
      <c r="F74" s="14">
        <v>62.0</v>
      </c>
      <c r="G74" s="15">
        <v>34343.0</v>
      </c>
      <c r="H74" s="15">
        <v>43058.0</v>
      </c>
      <c r="I74" s="10">
        <v>5076.0</v>
      </c>
      <c r="J74" s="13" t="str">
        <f t="shared" si="1"/>
        <v>Pass</v>
      </c>
      <c r="K74" s="13" t="str">
        <f t="array" ref="K74">IFS(F74&gt;=90,"Excellent",F74&gt;=70,"Good",F74&gt;=50,"Average",F74&lt;50,"Poor")</f>
        <v>Average</v>
      </c>
      <c r="L74" s="13" t="str">
        <f t="shared" si="2"/>
        <v>Fin</v>
      </c>
      <c r="M74" s="13" t="str">
        <f t="shared" si="3"/>
        <v>John Cole</v>
      </c>
      <c r="N74" s="13">
        <f t="shared" si="4"/>
        <v>6</v>
      </c>
      <c r="O74" s="13">
        <f t="shared" si="5"/>
        <v>31</v>
      </c>
      <c r="P74" s="13" t="str">
        <f t="shared" si="6"/>
        <v>November</v>
      </c>
      <c r="Q74" s="13">
        <f t="shared" si="7"/>
        <v>7</v>
      </c>
      <c r="R74" s="13" t="str">
        <f t="shared" si="8"/>
        <v>Eligible</v>
      </c>
      <c r="S74" s="13" t="str">
        <f t="shared" si="9"/>
        <v>False</v>
      </c>
    </row>
    <row r="75" ht="15.75" hidden="1" customHeight="1">
      <c r="A75" s="13" t="s">
        <v>152</v>
      </c>
      <c r="B75" s="13" t="s">
        <v>124</v>
      </c>
      <c r="C75" s="13" t="s">
        <v>153</v>
      </c>
      <c r="D75" s="13" t="s">
        <v>29</v>
      </c>
      <c r="E75" s="13" t="s">
        <v>39</v>
      </c>
      <c r="F75" s="14">
        <v>47.0</v>
      </c>
      <c r="G75" s="15">
        <v>37015.0</v>
      </c>
      <c r="H75" s="15">
        <v>43078.0</v>
      </c>
      <c r="I75" s="10">
        <v>7871.0</v>
      </c>
      <c r="J75" s="13" t="str">
        <f t="shared" si="1"/>
        <v>Fail</v>
      </c>
      <c r="K75" s="13" t="str">
        <f t="array" ref="K75">IFS(F75&gt;=90,"Excellent",F75&gt;=70,"Good",F75&gt;=50,"Average",F75&lt;50,"Poor")</f>
        <v>Poor</v>
      </c>
      <c r="L75" s="13" t="str">
        <f t="shared" si="2"/>
        <v>Fin</v>
      </c>
      <c r="M75" s="13" t="str">
        <f t="shared" si="3"/>
        <v>Charles Young</v>
      </c>
      <c r="N75" s="13">
        <f t="shared" si="4"/>
        <v>6</v>
      </c>
      <c r="O75" s="13">
        <f t="shared" si="5"/>
        <v>24</v>
      </c>
      <c r="P75" s="13" t="str">
        <f t="shared" si="6"/>
        <v>December</v>
      </c>
      <c r="Q75" s="13">
        <f t="shared" si="7"/>
        <v>7</v>
      </c>
      <c r="R75" s="13" t="str">
        <f t="shared" si="8"/>
        <v>Not Eligible</v>
      </c>
      <c r="S75" s="13" t="str">
        <f t="shared" si="9"/>
        <v>False</v>
      </c>
    </row>
    <row r="76" ht="15.75" customHeight="1">
      <c r="A76" s="4" t="s">
        <v>453</v>
      </c>
      <c r="B76" s="4" t="s">
        <v>454</v>
      </c>
      <c r="C76" s="4" t="s">
        <v>79</v>
      </c>
      <c r="D76" s="4" t="s">
        <v>75</v>
      </c>
      <c r="E76" s="4" t="s">
        <v>76</v>
      </c>
      <c r="F76" s="5">
        <v>89.0</v>
      </c>
      <c r="G76" s="6">
        <v>37656.0</v>
      </c>
      <c r="H76" s="16">
        <v>43095.0</v>
      </c>
      <c r="I76" s="17">
        <v>6740.0</v>
      </c>
      <c r="J76" s="4" t="str">
        <f t="shared" si="1"/>
        <v>Pass</v>
      </c>
      <c r="K76" s="4" t="str">
        <f t="array" ref="K76">IFS(F76&gt;=90,"Excellent",F76&gt;=70,"Good",F76&gt;=50,"Average",F76&lt;50,"Poor")</f>
        <v>Good</v>
      </c>
      <c r="L76" s="4" t="str">
        <f t="shared" si="2"/>
        <v>Mar</v>
      </c>
      <c r="M76" s="4" t="str">
        <f t="shared" si="3"/>
        <v>Bruce Carroll</v>
      </c>
      <c r="N76" s="4">
        <f t="shared" si="4"/>
        <v>6</v>
      </c>
      <c r="O76" s="4">
        <f t="shared" si="5"/>
        <v>22</v>
      </c>
      <c r="P76" s="4" t="str">
        <f t="shared" si="6"/>
        <v>December</v>
      </c>
      <c r="Q76" s="4">
        <f t="shared" si="7"/>
        <v>7</v>
      </c>
      <c r="R76" s="4" t="str">
        <f t="shared" si="8"/>
        <v>Not Eligible</v>
      </c>
      <c r="S76" s="4" t="str">
        <f t="shared" si="9"/>
        <v>False</v>
      </c>
    </row>
    <row r="77" ht="15.75" hidden="1" customHeight="1">
      <c r="A77" s="13" t="s">
        <v>519</v>
      </c>
      <c r="B77" s="13" t="s">
        <v>248</v>
      </c>
      <c r="C77" s="13" t="s">
        <v>520</v>
      </c>
      <c r="D77" s="13" t="s">
        <v>46</v>
      </c>
      <c r="E77" s="13" t="s">
        <v>47</v>
      </c>
      <c r="F77" s="14">
        <v>85.0</v>
      </c>
      <c r="G77" s="15">
        <v>36859.0</v>
      </c>
      <c r="H77" s="15">
        <v>43097.0</v>
      </c>
      <c r="I77" s="10">
        <v>4362.0</v>
      </c>
      <c r="J77" s="13" t="str">
        <f t="shared" si="1"/>
        <v>Pass</v>
      </c>
      <c r="K77" s="13" t="str">
        <f t="array" ref="K77">IFS(F77&gt;=90,"Excellent",F77&gt;=70,"Good",F77&gt;=50,"Average",F77&lt;50,"Poor")</f>
        <v>Good</v>
      </c>
      <c r="L77" s="13" t="str">
        <f t="shared" si="2"/>
        <v>Sal</v>
      </c>
      <c r="M77" s="13" t="str">
        <f t="shared" si="3"/>
        <v>Debra Payne</v>
      </c>
      <c r="N77" s="13">
        <f t="shared" si="4"/>
        <v>6</v>
      </c>
      <c r="O77" s="13">
        <f t="shared" si="5"/>
        <v>24</v>
      </c>
      <c r="P77" s="13" t="str">
        <f t="shared" si="6"/>
        <v>December</v>
      </c>
      <c r="Q77" s="13">
        <f t="shared" si="7"/>
        <v>7</v>
      </c>
      <c r="R77" s="13" t="str">
        <f t="shared" si="8"/>
        <v>Not Eligible</v>
      </c>
      <c r="S77" s="13" t="str">
        <f t="shared" si="9"/>
        <v>True</v>
      </c>
    </row>
    <row r="78" ht="15.75" hidden="1" customHeight="1">
      <c r="A78" s="13" t="s">
        <v>48</v>
      </c>
      <c r="B78" s="13" t="s">
        <v>49</v>
      </c>
      <c r="C78" s="13" t="s">
        <v>50</v>
      </c>
      <c r="D78" s="13" t="s">
        <v>24</v>
      </c>
      <c r="E78" s="13" t="s">
        <v>25</v>
      </c>
      <c r="F78" s="14">
        <v>100.0</v>
      </c>
      <c r="G78" s="15">
        <v>34445.0</v>
      </c>
      <c r="H78" s="15">
        <v>43110.0</v>
      </c>
      <c r="I78" s="10">
        <v>8025.0</v>
      </c>
      <c r="J78" s="13" t="str">
        <f t="shared" si="1"/>
        <v>Pass</v>
      </c>
      <c r="K78" s="13" t="str">
        <f t="array" ref="K78">IFS(F78&gt;=90,"Excellent",F78&gt;=70,"Good",F78&gt;=50,"Average",F78&lt;50,"Poor")</f>
        <v>Excellent</v>
      </c>
      <c r="L78" s="13" t="str">
        <f t="shared" si="2"/>
        <v>IT</v>
      </c>
      <c r="M78" s="13" t="str">
        <f t="shared" si="3"/>
        <v>Christina Haynes</v>
      </c>
      <c r="N78" s="13">
        <f t="shared" si="4"/>
        <v>6</v>
      </c>
      <c r="O78" s="13">
        <f t="shared" si="5"/>
        <v>31</v>
      </c>
      <c r="P78" s="13" t="str">
        <f t="shared" si="6"/>
        <v>January</v>
      </c>
      <c r="Q78" s="13">
        <f t="shared" si="7"/>
        <v>7</v>
      </c>
      <c r="R78" s="13" t="str">
        <f t="shared" si="8"/>
        <v>Eligible</v>
      </c>
      <c r="S78" s="13" t="str">
        <f t="shared" si="9"/>
        <v>False</v>
      </c>
    </row>
    <row r="79" ht="15.75" hidden="1" customHeight="1">
      <c r="A79" s="13" t="s">
        <v>439</v>
      </c>
      <c r="B79" s="13" t="s">
        <v>304</v>
      </c>
      <c r="C79" s="13" t="s">
        <v>440</v>
      </c>
      <c r="D79" s="13" t="s">
        <v>29</v>
      </c>
      <c r="E79" s="13" t="s">
        <v>39</v>
      </c>
      <c r="F79" s="14">
        <v>48.0</v>
      </c>
      <c r="G79" s="15">
        <v>32751.0</v>
      </c>
      <c r="H79" s="15">
        <v>43155.0</v>
      </c>
      <c r="I79" s="10">
        <v>7313.0</v>
      </c>
      <c r="J79" s="13" t="str">
        <f t="shared" si="1"/>
        <v>Fail</v>
      </c>
      <c r="K79" s="13" t="str">
        <f t="array" ref="K79">IFS(F79&gt;=90,"Excellent",F79&gt;=70,"Good",F79&gt;=50,"Average",F79&lt;50,"Poor")</f>
        <v>Poor</v>
      </c>
      <c r="L79" s="13" t="str">
        <f t="shared" si="2"/>
        <v>Fin</v>
      </c>
      <c r="M79" s="13" t="str">
        <f t="shared" si="3"/>
        <v>Tyler Mitchell</v>
      </c>
      <c r="N79" s="13">
        <f t="shared" si="4"/>
        <v>6</v>
      </c>
      <c r="O79" s="13">
        <f t="shared" si="5"/>
        <v>36</v>
      </c>
      <c r="P79" s="13" t="str">
        <f t="shared" si="6"/>
        <v>February</v>
      </c>
      <c r="Q79" s="13">
        <f t="shared" si="7"/>
        <v>7</v>
      </c>
      <c r="R79" s="13" t="str">
        <f t="shared" si="8"/>
        <v>Eligible</v>
      </c>
      <c r="S79" s="13" t="str">
        <f t="shared" si="9"/>
        <v>False</v>
      </c>
    </row>
    <row r="80" ht="15.75" hidden="1" customHeight="1">
      <c r="A80" s="13" t="s">
        <v>254</v>
      </c>
      <c r="B80" s="13" t="s">
        <v>255</v>
      </c>
      <c r="C80" s="13" t="s">
        <v>256</v>
      </c>
      <c r="D80" s="13" t="s">
        <v>24</v>
      </c>
      <c r="E80" s="13" t="s">
        <v>25</v>
      </c>
      <c r="F80" s="14">
        <v>41.0</v>
      </c>
      <c r="G80" s="15">
        <v>36790.0</v>
      </c>
      <c r="H80" s="15">
        <v>43156.0</v>
      </c>
      <c r="I80" s="10">
        <v>9168.0</v>
      </c>
      <c r="J80" s="13" t="str">
        <f t="shared" si="1"/>
        <v>Fail</v>
      </c>
      <c r="K80" s="13" t="str">
        <f t="array" ref="K80">IFS(F80&gt;=90,"Excellent",F80&gt;=70,"Good",F80&gt;=50,"Average",F80&lt;50,"Poor")</f>
        <v>Poor</v>
      </c>
      <c r="L80" s="13" t="str">
        <f t="shared" si="2"/>
        <v>IT</v>
      </c>
      <c r="M80" s="13" t="str">
        <f t="shared" si="3"/>
        <v>Ryan Hopkins</v>
      </c>
      <c r="N80" s="13">
        <f t="shared" si="4"/>
        <v>6</v>
      </c>
      <c r="O80" s="13">
        <f t="shared" si="5"/>
        <v>25</v>
      </c>
      <c r="P80" s="13" t="str">
        <f t="shared" si="6"/>
        <v>February</v>
      </c>
      <c r="Q80" s="13">
        <f t="shared" si="7"/>
        <v>7</v>
      </c>
      <c r="R80" s="13" t="str">
        <f t="shared" si="8"/>
        <v>Not Eligible</v>
      </c>
      <c r="S80" s="13" t="str">
        <f t="shared" si="9"/>
        <v>False</v>
      </c>
    </row>
    <row r="81" ht="15.75" hidden="1" customHeight="1">
      <c r="A81" s="13" t="s">
        <v>174</v>
      </c>
      <c r="B81" s="13" t="s">
        <v>151</v>
      </c>
      <c r="C81" s="13" t="s">
        <v>170</v>
      </c>
      <c r="D81" s="13" t="s">
        <v>29</v>
      </c>
      <c r="E81" s="13" t="s">
        <v>39</v>
      </c>
      <c r="F81" s="14">
        <v>31.0</v>
      </c>
      <c r="G81" s="15">
        <v>35466.0</v>
      </c>
      <c r="H81" s="15">
        <v>43172.0</v>
      </c>
      <c r="I81" s="10">
        <v>7713.0</v>
      </c>
      <c r="J81" s="13" t="str">
        <f t="shared" si="1"/>
        <v>Fail</v>
      </c>
      <c r="K81" s="13" t="str">
        <f t="array" ref="K81">IFS(F81&gt;=90,"Excellent",F81&gt;=70,"Good",F81&gt;=50,"Average",F81&lt;50,"Poor")</f>
        <v>Poor</v>
      </c>
      <c r="L81" s="13" t="str">
        <f t="shared" si="2"/>
        <v>Fin</v>
      </c>
      <c r="M81" s="13" t="str">
        <f t="shared" si="3"/>
        <v>Howard Jackson</v>
      </c>
      <c r="N81" s="13">
        <f t="shared" si="4"/>
        <v>6</v>
      </c>
      <c r="O81" s="13">
        <f t="shared" si="5"/>
        <v>28</v>
      </c>
      <c r="P81" s="13" t="str">
        <f t="shared" si="6"/>
        <v>March</v>
      </c>
      <c r="Q81" s="13">
        <f t="shared" si="7"/>
        <v>7</v>
      </c>
      <c r="R81" s="13" t="str">
        <f t="shared" si="8"/>
        <v>Eligible</v>
      </c>
      <c r="S81" s="13" t="str">
        <f t="shared" si="9"/>
        <v>False</v>
      </c>
    </row>
    <row r="82" ht="15.75" hidden="1" customHeight="1">
      <c r="A82" s="13" t="s">
        <v>348</v>
      </c>
      <c r="B82" s="13" t="s">
        <v>349</v>
      </c>
      <c r="C82" s="13" t="s">
        <v>350</v>
      </c>
      <c r="D82" s="13" t="s">
        <v>34</v>
      </c>
      <c r="E82" s="13" t="s">
        <v>35</v>
      </c>
      <c r="F82" s="14">
        <v>33.0</v>
      </c>
      <c r="G82" s="15">
        <v>34535.0</v>
      </c>
      <c r="H82" s="15">
        <v>43176.0</v>
      </c>
      <c r="I82" s="10">
        <v>4416.0</v>
      </c>
      <c r="J82" s="13" t="str">
        <f t="shared" si="1"/>
        <v>Fail</v>
      </c>
      <c r="K82" s="13" t="str">
        <f t="array" ref="K82">IFS(F82&gt;=90,"Excellent",F82&gt;=70,"Good",F82&gt;=50,"Average",F82&lt;50,"Poor")</f>
        <v>Poor</v>
      </c>
      <c r="L82" s="13" t="str">
        <f t="shared" si="2"/>
        <v>HR</v>
      </c>
      <c r="M82" s="13" t="str">
        <f t="shared" si="3"/>
        <v>Zachary Rasmussen</v>
      </c>
      <c r="N82" s="13">
        <f t="shared" si="4"/>
        <v>6</v>
      </c>
      <c r="O82" s="13">
        <f t="shared" si="5"/>
        <v>31</v>
      </c>
      <c r="P82" s="13" t="str">
        <f t="shared" si="6"/>
        <v>March</v>
      </c>
      <c r="Q82" s="13">
        <f t="shared" si="7"/>
        <v>7</v>
      </c>
      <c r="R82" s="13" t="str">
        <f t="shared" si="8"/>
        <v>Eligible</v>
      </c>
      <c r="S82" s="13" t="str">
        <f t="shared" si="9"/>
        <v>True</v>
      </c>
    </row>
    <row r="83" ht="15.75" hidden="1" customHeight="1">
      <c r="A83" s="13" t="s">
        <v>414</v>
      </c>
      <c r="B83" s="13" t="s">
        <v>415</v>
      </c>
      <c r="C83" s="13" t="s">
        <v>226</v>
      </c>
      <c r="D83" s="13" t="s">
        <v>24</v>
      </c>
      <c r="E83" s="13" t="s">
        <v>89</v>
      </c>
      <c r="F83" s="14">
        <v>56.0</v>
      </c>
      <c r="G83" s="15">
        <v>37234.0</v>
      </c>
      <c r="H83" s="15">
        <v>43199.0</v>
      </c>
      <c r="I83" s="10">
        <v>3138.0</v>
      </c>
      <c r="J83" s="13" t="str">
        <f t="shared" si="1"/>
        <v>Pass</v>
      </c>
      <c r="K83" s="13" t="str">
        <f t="array" ref="K83">IFS(F83&gt;=90,"Excellent",F83&gt;=70,"Good",F83&gt;=50,"Average",F83&lt;50,"Poor")</f>
        <v>Average</v>
      </c>
      <c r="L83" s="13" t="str">
        <f t="shared" si="2"/>
        <v>IT</v>
      </c>
      <c r="M83" s="13" t="str">
        <f t="shared" si="3"/>
        <v>Elijah Smith</v>
      </c>
      <c r="N83" s="13">
        <f t="shared" si="4"/>
        <v>6</v>
      </c>
      <c r="O83" s="13">
        <f t="shared" si="5"/>
        <v>23</v>
      </c>
      <c r="P83" s="13" t="str">
        <f t="shared" si="6"/>
        <v>April</v>
      </c>
      <c r="Q83" s="13">
        <f t="shared" si="7"/>
        <v>7</v>
      </c>
      <c r="R83" s="13" t="str">
        <f t="shared" si="8"/>
        <v>Not Eligible</v>
      </c>
      <c r="S83" s="13" t="str">
        <f t="shared" si="9"/>
        <v>False</v>
      </c>
    </row>
    <row r="84" ht="15.75" hidden="1" customHeight="1">
      <c r="A84" s="13" t="s">
        <v>178</v>
      </c>
      <c r="B84" s="13" t="s">
        <v>179</v>
      </c>
      <c r="C84" s="13" t="s">
        <v>180</v>
      </c>
      <c r="D84" s="13" t="s">
        <v>24</v>
      </c>
      <c r="E84" s="13" t="s">
        <v>25</v>
      </c>
      <c r="F84" s="14">
        <v>46.0</v>
      </c>
      <c r="G84" s="15">
        <v>34087.0</v>
      </c>
      <c r="H84" s="15">
        <v>43214.0</v>
      </c>
      <c r="I84" s="10">
        <v>3167.0</v>
      </c>
      <c r="J84" s="13" t="str">
        <f t="shared" si="1"/>
        <v>Fail</v>
      </c>
      <c r="K84" s="13" t="str">
        <f t="array" ref="K84">IFS(F84&gt;=90,"Excellent",F84&gt;=70,"Good",F84&gt;=50,"Average",F84&lt;50,"Poor")</f>
        <v>Poor</v>
      </c>
      <c r="L84" s="13" t="str">
        <f t="shared" si="2"/>
        <v>IT</v>
      </c>
      <c r="M84" s="13" t="str">
        <f t="shared" si="3"/>
        <v>Brooke Schroeder</v>
      </c>
      <c r="N84" s="13">
        <f t="shared" si="4"/>
        <v>6</v>
      </c>
      <c r="O84" s="13">
        <f t="shared" si="5"/>
        <v>32</v>
      </c>
      <c r="P84" s="13" t="str">
        <f t="shared" si="6"/>
        <v>April</v>
      </c>
      <c r="Q84" s="13">
        <f t="shared" si="7"/>
        <v>7</v>
      </c>
      <c r="R84" s="13" t="str">
        <f t="shared" si="8"/>
        <v>Eligible</v>
      </c>
      <c r="S84" s="13" t="str">
        <f t="shared" si="9"/>
        <v>False</v>
      </c>
    </row>
    <row r="85" ht="15.75" hidden="1" customHeight="1">
      <c r="A85" s="13" t="s">
        <v>446</v>
      </c>
      <c r="B85" s="13" t="s">
        <v>234</v>
      </c>
      <c r="C85" s="13" t="s">
        <v>447</v>
      </c>
      <c r="D85" s="13" t="s">
        <v>75</v>
      </c>
      <c r="E85" s="13" t="s">
        <v>85</v>
      </c>
      <c r="F85" s="14">
        <v>69.0</v>
      </c>
      <c r="G85" s="15">
        <v>33172.0</v>
      </c>
      <c r="H85" s="15">
        <v>43252.0</v>
      </c>
      <c r="I85" s="10">
        <v>8489.0</v>
      </c>
      <c r="J85" s="13" t="str">
        <f t="shared" si="1"/>
        <v>Pass</v>
      </c>
      <c r="K85" s="13" t="str">
        <f t="array" ref="K85">IFS(F85&gt;=90,"Excellent",F85&gt;=70,"Good",F85&gt;=50,"Average",F85&lt;50,"Poor")</f>
        <v>Average</v>
      </c>
      <c r="L85" s="13" t="str">
        <f t="shared" si="2"/>
        <v>Mar</v>
      </c>
      <c r="M85" s="13" t="str">
        <f t="shared" si="3"/>
        <v>Robert Ortiz</v>
      </c>
      <c r="N85" s="13">
        <f t="shared" si="4"/>
        <v>6</v>
      </c>
      <c r="O85" s="13">
        <f t="shared" si="5"/>
        <v>35</v>
      </c>
      <c r="P85" s="13" t="str">
        <f t="shared" si="6"/>
        <v>June</v>
      </c>
      <c r="Q85" s="13">
        <f t="shared" si="7"/>
        <v>7</v>
      </c>
      <c r="R85" s="13" t="str">
        <f t="shared" si="8"/>
        <v>Eligible</v>
      </c>
      <c r="S85" s="13" t="str">
        <f t="shared" si="9"/>
        <v>False</v>
      </c>
    </row>
    <row r="86" ht="15.75" hidden="1" customHeight="1">
      <c r="A86" s="13" t="s">
        <v>324</v>
      </c>
      <c r="B86" s="13" t="s">
        <v>325</v>
      </c>
      <c r="C86" s="13" t="s">
        <v>210</v>
      </c>
      <c r="D86" s="13" t="s">
        <v>34</v>
      </c>
      <c r="E86" s="13" t="s">
        <v>71</v>
      </c>
      <c r="F86" s="14">
        <v>87.0</v>
      </c>
      <c r="G86" s="15">
        <v>32453.0</v>
      </c>
      <c r="H86" s="15">
        <v>43265.0</v>
      </c>
      <c r="I86" s="10">
        <v>5454.0</v>
      </c>
      <c r="J86" s="13" t="str">
        <f t="shared" si="1"/>
        <v>Pass</v>
      </c>
      <c r="K86" s="13" t="str">
        <f t="array" ref="K86">IFS(F86&gt;=90,"Excellent",F86&gt;=70,"Good",F86&gt;=50,"Average",F86&lt;50,"Poor")</f>
        <v>Good</v>
      </c>
      <c r="L86" s="13" t="str">
        <f t="shared" si="2"/>
        <v>HR</v>
      </c>
      <c r="M86" s="13" t="str">
        <f t="shared" si="3"/>
        <v>Juan Moore</v>
      </c>
      <c r="N86" s="13">
        <f t="shared" si="4"/>
        <v>6</v>
      </c>
      <c r="O86" s="13">
        <f t="shared" si="5"/>
        <v>36</v>
      </c>
      <c r="P86" s="13" t="str">
        <f t="shared" si="6"/>
        <v>June</v>
      </c>
      <c r="Q86" s="13">
        <f t="shared" si="7"/>
        <v>7</v>
      </c>
      <c r="R86" s="13" t="str">
        <f t="shared" si="8"/>
        <v>Eligible</v>
      </c>
      <c r="S86" s="13" t="str">
        <f t="shared" si="9"/>
        <v>True</v>
      </c>
    </row>
    <row r="87" ht="15.75" hidden="1" customHeight="1">
      <c r="A87" s="13" t="s">
        <v>31</v>
      </c>
      <c r="B87" s="13" t="s">
        <v>32</v>
      </c>
      <c r="C87" s="13" t="s">
        <v>33</v>
      </c>
      <c r="D87" s="13" t="s">
        <v>34</v>
      </c>
      <c r="E87" s="13" t="s">
        <v>35</v>
      </c>
      <c r="F87" s="14">
        <v>37.0</v>
      </c>
      <c r="G87" s="15">
        <v>36559.0</v>
      </c>
      <c r="H87" s="15">
        <v>43269.0</v>
      </c>
      <c r="I87" s="10">
        <v>5767.0</v>
      </c>
      <c r="J87" s="13" t="str">
        <f t="shared" si="1"/>
        <v>Fail</v>
      </c>
      <c r="K87" s="13" t="str">
        <f t="array" ref="K87">IFS(F87&gt;=90,"Excellent",F87&gt;=70,"Good",F87&gt;=50,"Average",F87&lt;50,"Poor")</f>
        <v>Poor</v>
      </c>
      <c r="L87" s="13" t="str">
        <f t="shared" si="2"/>
        <v>HR</v>
      </c>
      <c r="M87" s="13" t="str">
        <f t="shared" si="3"/>
        <v>Gregory Rojas</v>
      </c>
      <c r="N87" s="13">
        <f t="shared" si="4"/>
        <v>6</v>
      </c>
      <c r="O87" s="13">
        <f t="shared" si="5"/>
        <v>25</v>
      </c>
      <c r="P87" s="13" t="str">
        <f t="shared" si="6"/>
        <v>June</v>
      </c>
      <c r="Q87" s="13">
        <f t="shared" si="7"/>
        <v>7</v>
      </c>
      <c r="R87" s="13" t="str">
        <f t="shared" si="8"/>
        <v>Not Eligible</v>
      </c>
      <c r="S87" s="13" t="str">
        <f t="shared" si="9"/>
        <v>True</v>
      </c>
    </row>
    <row r="88" ht="15.75" hidden="1" customHeight="1">
      <c r="A88" s="13" t="s">
        <v>400</v>
      </c>
      <c r="B88" s="13" t="s">
        <v>401</v>
      </c>
      <c r="C88" s="13" t="s">
        <v>402</v>
      </c>
      <c r="D88" s="13" t="s">
        <v>34</v>
      </c>
      <c r="E88" s="13" t="s">
        <v>35</v>
      </c>
      <c r="F88" s="14">
        <v>48.0</v>
      </c>
      <c r="G88" s="15">
        <v>36280.0</v>
      </c>
      <c r="H88" s="15">
        <v>43278.0</v>
      </c>
      <c r="I88" s="10">
        <v>6831.0</v>
      </c>
      <c r="J88" s="13" t="str">
        <f t="shared" si="1"/>
        <v>Fail</v>
      </c>
      <c r="K88" s="13" t="str">
        <f t="array" ref="K88">IFS(F88&gt;=90,"Excellent",F88&gt;=70,"Good",F88&gt;=50,"Average",F88&lt;50,"Poor")</f>
        <v>Poor</v>
      </c>
      <c r="L88" s="13" t="str">
        <f t="shared" si="2"/>
        <v>HR</v>
      </c>
      <c r="M88" s="13" t="str">
        <f t="shared" si="3"/>
        <v>Taylor Gould</v>
      </c>
      <c r="N88" s="13">
        <f t="shared" si="4"/>
        <v>6</v>
      </c>
      <c r="O88" s="13">
        <f t="shared" si="5"/>
        <v>26</v>
      </c>
      <c r="P88" s="13" t="str">
        <f t="shared" si="6"/>
        <v>June</v>
      </c>
      <c r="Q88" s="13">
        <f t="shared" si="7"/>
        <v>7</v>
      </c>
      <c r="R88" s="13" t="str">
        <f t="shared" si="8"/>
        <v>Eligible</v>
      </c>
      <c r="S88" s="13" t="str">
        <f t="shared" si="9"/>
        <v>True</v>
      </c>
    </row>
    <row r="89" ht="15.75" hidden="1" customHeight="1">
      <c r="A89" s="13" t="s">
        <v>491</v>
      </c>
      <c r="B89" s="13" t="s">
        <v>492</v>
      </c>
      <c r="C89" s="13" t="s">
        <v>493</v>
      </c>
      <c r="D89" s="13" t="s">
        <v>29</v>
      </c>
      <c r="E89" s="13" t="s">
        <v>30</v>
      </c>
      <c r="F89" s="14">
        <v>62.0</v>
      </c>
      <c r="G89" s="15">
        <v>32110.0</v>
      </c>
      <c r="H89" s="15">
        <v>43330.0</v>
      </c>
      <c r="I89" s="10">
        <v>6976.0</v>
      </c>
      <c r="J89" s="13" t="str">
        <f t="shared" si="1"/>
        <v>Pass</v>
      </c>
      <c r="K89" s="13" t="str">
        <f t="array" ref="K89">IFS(F89&gt;=90,"Excellent",F89&gt;=70,"Good",F89&gt;=50,"Average",F89&lt;50,"Poor")</f>
        <v>Average</v>
      </c>
      <c r="L89" s="13" t="str">
        <f t="shared" si="2"/>
        <v>Fin</v>
      </c>
      <c r="M89" s="13" t="str">
        <f t="shared" si="3"/>
        <v>Alicia Davis</v>
      </c>
      <c r="N89" s="13">
        <f t="shared" si="4"/>
        <v>6</v>
      </c>
      <c r="O89" s="13">
        <f t="shared" si="5"/>
        <v>37</v>
      </c>
      <c r="P89" s="13" t="str">
        <f t="shared" si="6"/>
        <v>August</v>
      </c>
      <c r="Q89" s="13">
        <f t="shared" si="7"/>
        <v>7</v>
      </c>
      <c r="R89" s="13" t="str">
        <f t="shared" si="8"/>
        <v>Eligible</v>
      </c>
      <c r="S89" s="13" t="str">
        <f t="shared" si="9"/>
        <v>False</v>
      </c>
    </row>
    <row r="90" ht="15.75" hidden="1" customHeight="1">
      <c r="A90" s="13" t="s">
        <v>494</v>
      </c>
      <c r="B90" s="13" t="s">
        <v>495</v>
      </c>
      <c r="C90" s="13" t="s">
        <v>82</v>
      </c>
      <c r="D90" s="13" t="s">
        <v>29</v>
      </c>
      <c r="E90" s="13" t="s">
        <v>30</v>
      </c>
      <c r="F90" s="14">
        <v>58.0</v>
      </c>
      <c r="G90" s="15">
        <v>32045.0</v>
      </c>
      <c r="H90" s="15">
        <v>43332.0</v>
      </c>
      <c r="I90" s="10">
        <v>8631.0</v>
      </c>
      <c r="J90" s="13" t="str">
        <f t="shared" si="1"/>
        <v>Pass</v>
      </c>
      <c r="K90" s="13" t="str">
        <f t="array" ref="K90">IFS(F90&gt;=90,"Excellent",F90&gt;=70,"Good",F90&gt;=50,"Average",F90&lt;50,"Poor")</f>
        <v>Average</v>
      </c>
      <c r="L90" s="13" t="str">
        <f t="shared" si="2"/>
        <v>Fin</v>
      </c>
      <c r="M90" s="13" t="str">
        <f t="shared" si="3"/>
        <v>Peter Gutierrez</v>
      </c>
      <c r="N90" s="13">
        <f t="shared" si="4"/>
        <v>6</v>
      </c>
      <c r="O90" s="13">
        <f t="shared" si="5"/>
        <v>38</v>
      </c>
      <c r="P90" s="13" t="str">
        <f t="shared" si="6"/>
        <v>August</v>
      </c>
      <c r="Q90" s="13">
        <f t="shared" si="7"/>
        <v>7</v>
      </c>
      <c r="R90" s="13" t="str">
        <f t="shared" si="8"/>
        <v>Eligible</v>
      </c>
      <c r="S90" s="13" t="str">
        <f t="shared" si="9"/>
        <v>False</v>
      </c>
    </row>
    <row r="91" ht="15.75" customHeight="1">
      <c r="A91" s="4" t="s">
        <v>424</v>
      </c>
      <c r="B91" s="4" t="s">
        <v>215</v>
      </c>
      <c r="C91" s="4" t="s">
        <v>425</v>
      </c>
      <c r="D91" s="4" t="s">
        <v>75</v>
      </c>
      <c r="E91" s="4" t="s">
        <v>85</v>
      </c>
      <c r="F91" s="5">
        <v>82.0</v>
      </c>
      <c r="G91" s="6">
        <v>35606.0</v>
      </c>
      <c r="H91" s="16">
        <v>43376.0</v>
      </c>
      <c r="I91" s="17">
        <v>4852.0</v>
      </c>
      <c r="J91" s="4" t="str">
        <f t="shared" si="1"/>
        <v>Pass</v>
      </c>
      <c r="K91" s="4" t="str">
        <f t="array" ref="K91">IFS(F91&gt;=90,"Excellent",F91&gt;=70,"Good",F91&gt;=50,"Average",F91&lt;50,"Poor")</f>
        <v>Good</v>
      </c>
      <c r="L91" s="4" t="str">
        <f t="shared" si="2"/>
        <v>Mar</v>
      </c>
      <c r="M91" s="4" t="str">
        <f t="shared" si="3"/>
        <v>Jennifer Underwood</v>
      </c>
      <c r="N91" s="4">
        <f t="shared" si="4"/>
        <v>6</v>
      </c>
      <c r="O91" s="4">
        <f t="shared" si="5"/>
        <v>28</v>
      </c>
      <c r="P91" s="4" t="str">
        <f t="shared" si="6"/>
        <v>October</v>
      </c>
      <c r="Q91" s="4">
        <f t="shared" si="7"/>
        <v>7</v>
      </c>
      <c r="R91" s="4" t="str">
        <f t="shared" si="8"/>
        <v>Eligible</v>
      </c>
      <c r="S91" s="4" t="str">
        <f t="shared" si="9"/>
        <v>False</v>
      </c>
    </row>
    <row r="92" ht="15.75" hidden="1" customHeight="1">
      <c r="A92" s="13" t="s">
        <v>181</v>
      </c>
      <c r="B92" s="13" t="s">
        <v>182</v>
      </c>
      <c r="C92" s="13" t="s">
        <v>183</v>
      </c>
      <c r="D92" s="13" t="s">
        <v>46</v>
      </c>
      <c r="E92" s="13" t="s">
        <v>47</v>
      </c>
      <c r="F92" s="14">
        <v>40.0</v>
      </c>
      <c r="G92" s="15">
        <v>34213.0</v>
      </c>
      <c r="H92" s="15">
        <v>43409.0</v>
      </c>
      <c r="I92" s="10">
        <v>8446.0</v>
      </c>
      <c r="J92" s="13" t="str">
        <f t="shared" si="1"/>
        <v>Fail</v>
      </c>
      <c r="K92" s="13" t="str">
        <f t="array" ref="K92">IFS(F92&gt;=90,"Excellent",F92&gt;=70,"Good",F92&gt;=50,"Average",F92&lt;50,"Poor")</f>
        <v>Poor</v>
      </c>
      <c r="L92" s="13" t="str">
        <f t="shared" si="2"/>
        <v>Sal</v>
      </c>
      <c r="M92" s="13" t="str">
        <f t="shared" si="3"/>
        <v>Lorraine Price</v>
      </c>
      <c r="N92" s="13">
        <f t="shared" si="4"/>
        <v>6</v>
      </c>
      <c r="O92" s="13">
        <f t="shared" si="5"/>
        <v>32</v>
      </c>
      <c r="P92" s="13" t="str">
        <f t="shared" si="6"/>
        <v>November</v>
      </c>
      <c r="Q92" s="13">
        <f t="shared" si="7"/>
        <v>6</v>
      </c>
      <c r="R92" s="13" t="str">
        <f t="shared" si="8"/>
        <v>Eligible</v>
      </c>
      <c r="S92" s="13" t="str">
        <f t="shared" si="9"/>
        <v>True</v>
      </c>
    </row>
    <row r="93" ht="15.75" hidden="1" customHeight="1">
      <c r="A93" s="13" t="s">
        <v>308</v>
      </c>
      <c r="B93" s="13" t="s">
        <v>248</v>
      </c>
      <c r="C93" s="13" t="s">
        <v>309</v>
      </c>
      <c r="D93" s="13" t="s">
        <v>34</v>
      </c>
      <c r="E93" s="13" t="s">
        <v>35</v>
      </c>
      <c r="F93" s="14">
        <v>45.0</v>
      </c>
      <c r="G93" s="15">
        <v>35467.0</v>
      </c>
      <c r="H93" s="15">
        <v>43429.0</v>
      </c>
      <c r="I93" s="10">
        <v>5606.0</v>
      </c>
      <c r="J93" s="13" t="str">
        <f t="shared" si="1"/>
        <v>Fail</v>
      </c>
      <c r="K93" s="13" t="str">
        <f t="array" ref="K93">IFS(F93&gt;=90,"Excellent",F93&gt;=70,"Good",F93&gt;=50,"Average",F93&lt;50,"Poor")</f>
        <v>Poor</v>
      </c>
      <c r="L93" s="13" t="str">
        <f t="shared" si="2"/>
        <v>HR</v>
      </c>
      <c r="M93" s="13" t="str">
        <f t="shared" si="3"/>
        <v>Debra Green</v>
      </c>
      <c r="N93" s="13">
        <f t="shared" si="4"/>
        <v>6</v>
      </c>
      <c r="O93" s="13">
        <f t="shared" si="5"/>
        <v>28</v>
      </c>
      <c r="P93" s="13" t="str">
        <f t="shared" si="6"/>
        <v>November</v>
      </c>
      <c r="Q93" s="13">
        <f t="shared" si="7"/>
        <v>6</v>
      </c>
      <c r="R93" s="13" t="str">
        <f t="shared" si="8"/>
        <v>Eligible</v>
      </c>
      <c r="S93" s="13" t="str">
        <f t="shared" si="9"/>
        <v>True</v>
      </c>
    </row>
    <row r="94" ht="15.75" hidden="1" customHeight="1">
      <c r="A94" s="13" t="s">
        <v>247</v>
      </c>
      <c r="B94" s="13" t="s">
        <v>248</v>
      </c>
      <c r="C94" s="13" t="s">
        <v>249</v>
      </c>
      <c r="D94" s="13" t="s">
        <v>75</v>
      </c>
      <c r="E94" s="13" t="s">
        <v>76</v>
      </c>
      <c r="F94" s="14">
        <v>75.0</v>
      </c>
      <c r="G94" s="15">
        <v>31826.0</v>
      </c>
      <c r="H94" s="15">
        <v>43438.0</v>
      </c>
      <c r="I94" s="10">
        <v>7732.0</v>
      </c>
      <c r="J94" s="13" t="str">
        <f t="shared" si="1"/>
        <v>Pass</v>
      </c>
      <c r="K94" s="13" t="str">
        <f t="array" ref="K94">IFS(F94&gt;=90,"Excellent",F94&gt;=70,"Good",F94&gt;=50,"Average",F94&lt;50,"Poor")</f>
        <v>Good</v>
      </c>
      <c r="L94" s="13" t="str">
        <f t="shared" si="2"/>
        <v>Mar</v>
      </c>
      <c r="M94" s="13" t="str">
        <f t="shared" si="3"/>
        <v>Debra Walker</v>
      </c>
      <c r="N94" s="13">
        <f t="shared" si="4"/>
        <v>6</v>
      </c>
      <c r="O94" s="13">
        <f t="shared" si="5"/>
        <v>38</v>
      </c>
      <c r="P94" s="13" t="str">
        <f t="shared" si="6"/>
        <v>December</v>
      </c>
      <c r="Q94" s="13">
        <f t="shared" si="7"/>
        <v>6</v>
      </c>
      <c r="R94" s="13" t="str">
        <f t="shared" si="8"/>
        <v>Eligible</v>
      </c>
      <c r="S94" s="13" t="str">
        <f t="shared" si="9"/>
        <v>False</v>
      </c>
    </row>
    <row r="95" ht="15.75" hidden="1" customHeight="1">
      <c r="A95" s="13" t="s">
        <v>291</v>
      </c>
      <c r="B95" s="13" t="s">
        <v>215</v>
      </c>
      <c r="C95" s="13" t="s">
        <v>292</v>
      </c>
      <c r="D95" s="13" t="s">
        <v>34</v>
      </c>
      <c r="E95" s="13" t="s">
        <v>35</v>
      </c>
      <c r="F95" s="14">
        <v>59.0</v>
      </c>
      <c r="G95" s="15">
        <v>34493.0</v>
      </c>
      <c r="H95" s="15">
        <v>43439.0</v>
      </c>
      <c r="I95" s="10">
        <v>5334.0</v>
      </c>
      <c r="J95" s="13" t="str">
        <f t="shared" si="1"/>
        <v>Pass</v>
      </c>
      <c r="K95" s="13" t="str">
        <f t="array" ref="K95">IFS(F95&gt;=90,"Excellent",F95&gt;=70,"Good",F95&gt;=50,"Average",F95&lt;50,"Poor")</f>
        <v>Average</v>
      </c>
      <c r="L95" s="13" t="str">
        <f t="shared" si="2"/>
        <v>HR</v>
      </c>
      <c r="M95" s="13" t="str">
        <f t="shared" si="3"/>
        <v>Jennifer Patel</v>
      </c>
      <c r="N95" s="13">
        <f t="shared" si="4"/>
        <v>6</v>
      </c>
      <c r="O95" s="13">
        <f t="shared" si="5"/>
        <v>31</v>
      </c>
      <c r="P95" s="13" t="str">
        <f t="shared" si="6"/>
        <v>December</v>
      </c>
      <c r="Q95" s="13">
        <f t="shared" si="7"/>
        <v>6</v>
      </c>
      <c r="R95" s="13" t="str">
        <f t="shared" si="8"/>
        <v>Eligible</v>
      </c>
      <c r="S95" s="13" t="str">
        <f t="shared" si="9"/>
        <v>True</v>
      </c>
    </row>
    <row r="96" ht="15.75" hidden="1" customHeight="1">
      <c r="A96" s="13" t="s">
        <v>465</v>
      </c>
      <c r="B96" s="13" t="s">
        <v>466</v>
      </c>
      <c r="C96" s="13" t="s">
        <v>59</v>
      </c>
      <c r="D96" s="13" t="s">
        <v>75</v>
      </c>
      <c r="E96" s="13" t="s">
        <v>85</v>
      </c>
      <c r="F96" s="14">
        <v>56.0</v>
      </c>
      <c r="G96" s="15">
        <v>37121.0</v>
      </c>
      <c r="H96" s="15">
        <v>43440.0</v>
      </c>
      <c r="I96" s="10">
        <v>7330.0</v>
      </c>
      <c r="J96" s="13" t="str">
        <f t="shared" si="1"/>
        <v>Pass</v>
      </c>
      <c r="K96" s="13" t="str">
        <f t="array" ref="K96">IFS(F96&gt;=90,"Excellent",F96&gt;=70,"Good",F96&gt;=50,"Average",F96&lt;50,"Poor")</f>
        <v>Average</v>
      </c>
      <c r="L96" s="13" t="str">
        <f t="shared" si="2"/>
        <v>Mar</v>
      </c>
      <c r="M96" s="13" t="str">
        <f t="shared" si="3"/>
        <v>Victor Rodriguez</v>
      </c>
      <c r="N96" s="13">
        <f t="shared" si="4"/>
        <v>6</v>
      </c>
      <c r="O96" s="13">
        <f t="shared" si="5"/>
        <v>24</v>
      </c>
      <c r="P96" s="13" t="str">
        <f t="shared" si="6"/>
        <v>December</v>
      </c>
      <c r="Q96" s="13">
        <f t="shared" si="7"/>
        <v>6</v>
      </c>
      <c r="R96" s="13" t="str">
        <f t="shared" si="8"/>
        <v>Not Eligible</v>
      </c>
      <c r="S96" s="13" t="str">
        <f t="shared" si="9"/>
        <v>False</v>
      </c>
    </row>
    <row r="97" ht="15.75" hidden="1" customHeight="1">
      <c r="A97" s="13" t="s">
        <v>433</v>
      </c>
      <c r="B97" s="13" t="s">
        <v>238</v>
      </c>
      <c r="C97" s="13" t="s">
        <v>434</v>
      </c>
      <c r="D97" s="13" t="s">
        <v>29</v>
      </c>
      <c r="E97" s="13" t="s">
        <v>30</v>
      </c>
      <c r="F97" s="14">
        <v>76.0</v>
      </c>
      <c r="G97" s="15">
        <v>35245.0</v>
      </c>
      <c r="H97" s="15">
        <v>43447.0</v>
      </c>
      <c r="I97" s="10">
        <v>3340.0</v>
      </c>
      <c r="J97" s="13" t="str">
        <f t="shared" si="1"/>
        <v>Pass</v>
      </c>
      <c r="K97" s="13" t="str">
        <f t="array" ref="K97">IFS(F97&gt;=90,"Excellent",F97&gt;=70,"Good",F97&gt;=50,"Average",F97&lt;50,"Poor")</f>
        <v>Good</v>
      </c>
      <c r="L97" s="13" t="str">
        <f t="shared" si="2"/>
        <v>Fin</v>
      </c>
      <c r="M97" s="13" t="str">
        <f t="shared" si="3"/>
        <v>Travis Barry</v>
      </c>
      <c r="N97" s="13">
        <f t="shared" si="4"/>
        <v>6</v>
      </c>
      <c r="O97" s="13">
        <f t="shared" si="5"/>
        <v>29</v>
      </c>
      <c r="P97" s="13" t="str">
        <f t="shared" si="6"/>
        <v>December</v>
      </c>
      <c r="Q97" s="13">
        <f t="shared" si="7"/>
        <v>6</v>
      </c>
      <c r="R97" s="13" t="str">
        <f t="shared" si="8"/>
        <v>Eligible</v>
      </c>
      <c r="S97" s="13" t="str">
        <f t="shared" si="9"/>
        <v>False</v>
      </c>
    </row>
    <row r="98" ht="15.75" hidden="1" customHeight="1">
      <c r="A98" s="13" t="s">
        <v>469</v>
      </c>
      <c r="B98" s="13" t="s">
        <v>468</v>
      </c>
      <c r="C98" s="13" t="s">
        <v>470</v>
      </c>
      <c r="D98" s="13" t="s">
        <v>75</v>
      </c>
      <c r="E98" s="13" t="s">
        <v>76</v>
      </c>
      <c r="F98" s="14">
        <v>42.0</v>
      </c>
      <c r="G98" s="15">
        <v>37961.0</v>
      </c>
      <c r="H98" s="15">
        <v>43450.0</v>
      </c>
      <c r="I98" s="10">
        <v>6202.0</v>
      </c>
      <c r="J98" s="13" t="str">
        <f t="shared" si="1"/>
        <v>Fail</v>
      </c>
      <c r="K98" s="13" t="str">
        <f t="array" ref="K98">IFS(F98&gt;=90,"Excellent",F98&gt;=70,"Good",F98&gt;=50,"Average",F98&lt;50,"Poor")</f>
        <v>Poor</v>
      </c>
      <c r="L98" s="13" t="str">
        <f t="shared" si="2"/>
        <v>Mar</v>
      </c>
      <c r="M98" s="13" t="str">
        <f t="shared" si="3"/>
        <v>James Nelson</v>
      </c>
      <c r="N98" s="13">
        <f t="shared" si="4"/>
        <v>6</v>
      </c>
      <c r="O98" s="13">
        <f t="shared" si="5"/>
        <v>21</v>
      </c>
      <c r="P98" s="13" t="str">
        <f t="shared" si="6"/>
        <v>December</v>
      </c>
      <c r="Q98" s="13">
        <f t="shared" si="7"/>
        <v>6</v>
      </c>
      <c r="R98" s="13" t="str">
        <f t="shared" si="8"/>
        <v>Not Eligible</v>
      </c>
      <c r="S98" s="13" t="str">
        <f t="shared" si="9"/>
        <v>False</v>
      </c>
    </row>
    <row r="99" ht="15.75" hidden="1" customHeight="1">
      <c r="A99" s="13" t="s">
        <v>451</v>
      </c>
      <c r="B99" s="13" t="s">
        <v>343</v>
      </c>
      <c r="C99" s="13" t="s">
        <v>452</v>
      </c>
      <c r="D99" s="13" t="s">
        <v>75</v>
      </c>
      <c r="E99" s="13" t="s">
        <v>85</v>
      </c>
      <c r="F99" s="14">
        <v>74.0</v>
      </c>
      <c r="G99" s="15">
        <v>34507.0</v>
      </c>
      <c r="H99" s="15">
        <v>43458.0</v>
      </c>
      <c r="I99" s="10">
        <v>8300.0</v>
      </c>
      <c r="J99" s="13" t="str">
        <f t="shared" si="1"/>
        <v>Pass</v>
      </c>
      <c r="K99" s="13" t="str">
        <f t="array" ref="K99">IFS(F99&gt;=90,"Excellent",F99&gt;=70,"Good",F99&gt;=50,"Average",F99&lt;50,"Poor")</f>
        <v>Good</v>
      </c>
      <c r="L99" s="13" t="str">
        <f t="shared" si="2"/>
        <v>Mar</v>
      </c>
      <c r="M99" s="13" t="str">
        <f t="shared" si="3"/>
        <v>Curtis Gray</v>
      </c>
      <c r="N99" s="13">
        <f t="shared" si="4"/>
        <v>6</v>
      </c>
      <c r="O99" s="13">
        <f t="shared" si="5"/>
        <v>31</v>
      </c>
      <c r="P99" s="13" t="str">
        <f t="shared" si="6"/>
        <v>December</v>
      </c>
      <c r="Q99" s="13">
        <f t="shared" si="7"/>
        <v>6</v>
      </c>
      <c r="R99" s="13" t="str">
        <f t="shared" si="8"/>
        <v>Eligible</v>
      </c>
      <c r="S99" s="13" t="str">
        <f t="shared" si="9"/>
        <v>False</v>
      </c>
    </row>
    <row r="100" ht="15.75" hidden="1" customHeight="1">
      <c r="A100" s="13" t="s">
        <v>201</v>
      </c>
      <c r="B100" s="13" t="s">
        <v>202</v>
      </c>
      <c r="C100" s="13" t="s">
        <v>203</v>
      </c>
      <c r="D100" s="13" t="s">
        <v>46</v>
      </c>
      <c r="E100" s="13" t="s">
        <v>53</v>
      </c>
      <c r="F100" s="14">
        <v>58.0</v>
      </c>
      <c r="G100" s="15">
        <v>33989.0</v>
      </c>
      <c r="H100" s="15">
        <v>43478.0</v>
      </c>
      <c r="I100" s="10">
        <v>5219.0</v>
      </c>
      <c r="J100" s="13" t="str">
        <f t="shared" si="1"/>
        <v>Pass</v>
      </c>
      <c r="K100" s="13" t="str">
        <f t="array" ref="K100">IFS(F100&gt;=90,"Excellent",F100&gt;=70,"Good",F100&gt;=50,"Average",F100&lt;50,"Poor")</f>
        <v>Average</v>
      </c>
      <c r="L100" s="13" t="str">
        <f t="shared" si="2"/>
        <v>Sal</v>
      </c>
      <c r="M100" s="13" t="str">
        <f t="shared" si="3"/>
        <v>Misty Parker</v>
      </c>
      <c r="N100" s="13">
        <f t="shared" si="4"/>
        <v>6</v>
      </c>
      <c r="O100" s="13">
        <f t="shared" si="5"/>
        <v>32</v>
      </c>
      <c r="P100" s="13" t="str">
        <f t="shared" si="6"/>
        <v>January</v>
      </c>
      <c r="Q100" s="13">
        <f t="shared" si="7"/>
        <v>6</v>
      </c>
      <c r="R100" s="13" t="str">
        <f t="shared" si="8"/>
        <v>Eligible</v>
      </c>
      <c r="S100" s="13" t="str">
        <f t="shared" si="9"/>
        <v>True</v>
      </c>
    </row>
    <row r="101" ht="15.75" hidden="1" customHeight="1">
      <c r="A101" s="13" t="s">
        <v>90</v>
      </c>
      <c r="B101" s="13" t="s">
        <v>91</v>
      </c>
      <c r="C101" s="13" t="s">
        <v>92</v>
      </c>
      <c r="D101" s="13" t="s">
        <v>24</v>
      </c>
      <c r="E101" s="13" t="s">
        <v>89</v>
      </c>
      <c r="F101" s="14">
        <v>59.0</v>
      </c>
      <c r="G101" s="15">
        <v>31877.0</v>
      </c>
      <c r="H101" s="15">
        <v>43483.0</v>
      </c>
      <c r="I101" s="10">
        <v>7987.0</v>
      </c>
      <c r="J101" s="13" t="str">
        <f t="shared" si="1"/>
        <v>Pass</v>
      </c>
      <c r="K101" s="13" t="str">
        <f t="array" ref="K101">IFS(F101&gt;=90,"Excellent",F101&gt;=70,"Good",F101&gt;=50,"Average",F101&lt;50,"Poor")</f>
        <v>Average</v>
      </c>
      <c r="L101" s="13" t="str">
        <f t="shared" si="2"/>
        <v>IT</v>
      </c>
      <c r="M101" s="13" t="str">
        <f t="shared" si="3"/>
        <v>Julie Bryant</v>
      </c>
      <c r="N101" s="13">
        <f t="shared" si="4"/>
        <v>6</v>
      </c>
      <c r="O101" s="13">
        <f t="shared" si="5"/>
        <v>38</v>
      </c>
      <c r="P101" s="13" t="str">
        <f t="shared" si="6"/>
        <v>January</v>
      </c>
      <c r="Q101" s="13">
        <f t="shared" si="7"/>
        <v>6</v>
      </c>
      <c r="R101" s="13" t="str">
        <f t="shared" si="8"/>
        <v>Eligible</v>
      </c>
      <c r="S101" s="13" t="str">
        <f t="shared" si="9"/>
        <v>False</v>
      </c>
    </row>
    <row r="102" ht="15.75" hidden="1" customHeight="1">
      <c r="A102" s="13" t="s">
        <v>262</v>
      </c>
      <c r="B102" s="13" t="s">
        <v>194</v>
      </c>
      <c r="C102" s="13" t="s">
        <v>263</v>
      </c>
      <c r="D102" s="13" t="s">
        <v>34</v>
      </c>
      <c r="E102" s="13" t="s">
        <v>71</v>
      </c>
      <c r="F102" s="14">
        <v>81.0</v>
      </c>
      <c r="G102" s="15">
        <v>37494.0</v>
      </c>
      <c r="H102" s="15">
        <v>43485.0</v>
      </c>
      <c r="I102" s="10">
        <v>5970.0</v>
      </c>
      <c r="J102" s="13" t="str">
        <f t="shared" si="1"/>
        <v>Pass</v>
      </c>
      <c r="K102" s="13" t="str">
        <f t="array" ref="K102">IFS(F102&gt;=90,"Excellent",F102&gt;=70,"Good",F102&gt;=50,"Average",F102&lt;50,"Poor")</f>
        <v>Good</v>
      </c>
      <c r="L102" s="13" t="str">
        <f t="shared" si="2"/>
        <v>HR</v>
      </c>
      <c r="M102" s="13" t="str">
        <f t="shared" si="3"/>
        <v>Dawn Miller</v>
      </c>
      <c r="N102" s="13">
        <f t="shared" si="4"/>
        <v>6</v>
      </c>
      <c r="O102" s="13">
        <f t="shared" si="5"/>
        <v>23</v>
      </c>
      <c r="P102" s="13" t="str">
        <f t="shared" si="6"/>
        <v>January</v>
      </c>
      <c r="Q102" s="13">
        <f t="shared" si="7"/>
        <v>6</v>
      </c>
      <c r="R102" s="13" t="str">
        <f t="shared" si="8"/>
        <v>Not Eligible</v>
      </c>
      <c r="S102" s="13" t="str">
        <f t="shared" si="9"/>
        <v>True</v>
      </c>
    </row>
    <row r="103" ht="15.75" hidden="1" customHeight="1">
      <c r="A103" s="13" t="s">
        <v>36</v>
      </c>
      <c r="B103" s="13" t="s">
        <v>37</v>
      </c>
      <c r="C103" s="13" t="s">
        <v>38</v>
      </c>
      <c r="D103" s="13" t="s">
        <v>29</v>
      </c>
      <c r="E103" s="13" t="s">
        <v>39</v>
      </c>
      <c r="F103" s="14">
        <v>87.0</v>
      </c>
      <c r="G103" s="15">
        <v>31829.0</v>
      </c>
      <c r="H103" s="15">
        <v>43487.0</v>
      </c>
      <c r="I103" s="10">
        <v>5622.0</v>
      </c>
      <c r="J103" s="13" t="str">
        <f t="shared" si="1"/>
        <v>Pass</v>
      </c>
      <c r="K103" s="13" t="str">
        <f t="array" ref="K103">IFS(F103&gt;=90,"Excellent",F103&gt;=70,"Good",F103&gt;=50,"Average",F103&lt;50,"Poor")</f>
        <v>Good</v>
      </c>
      <c r="L103" s="13" t="str">
        <f t="shared" si="2"/>
        <v>Fin</v>
      </c>
      <c r="M103" s="13" t="str">
        <f t="shared" si="3"/>
        <v>Joseph Estrada</v>
      </c>
      <c r="N103" s="13">
        <f t="shared" si="4"/>
        <v>6</v>
      </c>
      <c r="O103" s="13">
        <f t="shared" si="5"/>
        <v>38</v>
      </c>
      <c r="P103" s="13" t="str">
        <f t="shared" si="6"/>
        <v>January</v>
      </c>
      <c r="Q103" s="13">
        <f t="shared" si="7"/>
        <v>6</v>
      </c>
      <c r="R103" s="13" t="str">
        <f t="shared" si="8"/>
        <v>Eligible</v>
      </c>
      <c r="S103" s="13" t="str">
        <f t="shared" si="9"/>
        <v>False</v>
      </c>
    </row>
    <row r="104" ht="15.75" hidden="1" customHeight="1">
      <c r="A104" s="13" t="s">
        <v>471</v>
      </c>
      <c r="B104" s="13" t="s">
        <v>468</v>
      </c>
      <c r="C104" s="13" t="s">
        <v>411</v>
      </c>
      <c r="D104" s="13" t="s">
        <v>34</v>
      </c>
      <c r="E104" s="13" t="s">
        <v>35</v>
      </c>
      <c r="F104" s="14">
        <v>92.0</v>
      </c>
      <c r="G104" s="15">
        <v>35897.0</v>
      </c>
      <c r="H104" s="15">
        <v>43536.0</v>
      </c>
      <c r="I104" s="10">
        <v>3522.0</v>
      </c>
      <c r="J104" s="13" t="str">
        <f t="shared" si="1"/>
        <v>Pass</v>
      </c>
      <c r="K104" s="13" t="str">
        <f t="array" ref="K104">IFS(F104&gt;=90,"Excellent",F104&gt;=70,"Good",F104&gt;=50,"Average",F104&lt;50,"Poor")</f>
        <v>Excellent</v>
      </c>
      <c r="L104" s="13" t="str">
        <f t="shared" si="2"/>
        <v>HR</v>
      </c>
      <c r="M104" s="13" t="str">
        <f t="shared" si="3"/>
        <v>James Gonzalez</v>
      </c>
      <c r="N104" s="13">
        <f t="shared" si="4"/>
        <v>6</v>
      </c>
      <c r="O104" s="13">
        <f t="shared" si="5"/>
        <v>27</v>
      </c>
      <c r="P104" s="13" t="str">
        <f t="shared" si="6"/>
        <v>March</v>
      </c>
      <c r="Q104" s="13">
        <f t="shared" si="7"/>
        <v>6</v>
      </c>
      <c r="R104" s="13" t="str">
        <f t="shared" si="8"/>
        <v>Eligible</v>
      </c>
      <c r="S104" s="13" t="str">
        <f t="shared" si="9"/>
        <v>True</v>
      </c>
    </row>
    <row r="105" ht="15.75" hidden="1" customHeight="1">
      <c r="A105" s="13" t="s">
        <v>221</v>
      </c>
      <c r="B105" s="13" t="s">
        <v>222</v>
      </c>
      <c r="C105" s="13" t="s">
        <v>223</v>
      </c>
      <c r="D105" s="13" t="s">
        <v>46</v>
      </c>
      <c r="E105" s="13" t="s">
        <v>47</v>
      </c>
      <c r="F105" s="14">
        <v>46.0</v>
      </c>
      <c r="G105" s="15">
        <v>31620.0</v>
      </c>
      <c r="H105" s="15">
        <v>43542.0</v>
      </c>
      <c r="I105" s="10">
        <v>8879.0</v>
      </c>
      <c r="J105" s="13" t="str">
        <f t="shared" si="1"/>
        <v>Fail</v>
      </c>
      <c r="K105" s="13" t="str">
        <f t="array" ref="K105">IFS(F105&gt;=90,"Excellent",F105&gt;=70,"Good",F105&gt;=50,"Average",F105&lt;50,"Poor")</f>
        <v>Poor</v>
      </c>
      <c r="L105" s="13" t="str">
        <f t="shared" si="2"/>
        <v>Sal</v>
      </c>
      <c r="M105" s="13" t="str">
        <f t="shared" si="3"/>
        <v>Jonathan Allen</v>
      </c>
      <c r="N105" s="13">
        <f t="shared" si="4"/>
        <v>6</v>
      </c>
      <c r="O105" s="13">
        <f t="shared" si="5"/>
        <v>39</v>
      </c>
      <c r="P105" s="13" t="str">
        <f t="shared" si="6"/>
        <v>March</v>
      </c>
      <c r="Q105" s="13">
        <f t="shared" si="7"/>
        <v>6</v>
      </c>
      <c r="R105" s="13" t="str">
        <f t="shared" si="8"/>
        <v>Eligible</v>
      </c>
      <c r="S105" s="13" t="str">
        <f t="shared" si="9"/>
        <v>True</v>
      </c>
    </row>
    <row r="106" ht="15.75" hidden="1" customHeight="1">
      <c r="A106" s="13" t="s">
        <v>403</v>
      </c>
      <c r="B106" s="13" t="s">
        <v>67</v>
      </c>
      <c r="C106" s="13" t="s">
        <v>404</v>
      </c>
      <c r="D106" s="13" t="s">
        <v>24</v>
      </c>
      <c r="E106" s="13" t="s">
        <v>25</v>
      </c>
      <c r="F106" s="14">
        <v>41.0</v>
      </c>
      <c r="G106" s="15">
        <v>31142.0</v>
      </c>
      <c r="H106" s="15">
        <v>43550.0</v>
      </c>
      <c r="I106" s="10">
        <v>6116.0</v>
      </c>
      <c r="J106" s="13" t="str">
        <f t="shared" si="1"/>
        <v>Fail</v>
      </c>
      <c r="K106" s="13" t="str">
        <f t="array" ref="K106">IFS(F106&gt;=90,"Excellent",F106&gt;=70,"Good",F106&gt;=50,"Average",F106&lt;50,"Poor")</f>
        <v>Poor</v>
      </c>
      <c r="L106" s="13" t="str">
        <f t="shared" si="2"/>
        <v>IT</v>
      </c>
      <c r="M106" s="13" t="str">
        <f t="shared" si="3"/>
        <v>Whitney Turner</v>
      </c>
      <c r="N106" s="13">
        <f t="shared" si="4"/>
        <v>6</v>
      </c>
      <c r="O106" s="13">
        <f t="shared" si="5"/>
        <v>40</v>
      </c>
      <c r="P106" s="13" t="str">
        <f t="shared" si="6"/>
        <v>March</v>
      </c>
      <c r="Q106" s="13">
        <f t="shared" si="7"/>
        <v>6</v>
      </c>
      <c r="R106" s="13" t="str">
        <f t="shared" si="8"/>
        <v>Eligible</v>
      </c>
      <c r="S106" s="13" t="str">
        <f t="shared" si="9"/>
        <v>False</v>
      </c>
    </row>
    <row r="107" ht="15.75" hidden="1" customHeight="1">
      <c r="A107" s="13" t="s">
        <v>326</v>
      </c>
      <c r="B107" s="13" t="s">
        <v>327</v>
      </c>
      <c r="C107" s="13" t="s">
        <v>125</v>
      </c>
      <c r="D107" s="13" t="s">
        <v>29</v>
      </c>
      <c r="E107" s="13" t="s">
        <v>30</v>
      </c>
      <c r="F107" s="14">
        <v>53.0</v>
      </c>
      <c r="G107" s="15">
        <v>36518.0</v>
      </c>
      <c r="H107" s="15">
        <v>43614.0</v>
      </c>
      <c r="I107" s="10">
        <v>6880.0</v>
      </c>
      <c r="J107" s="13" t="str">
        <f t="shared" si="1"/>
        <v>Pass</v>
      </c>
      <c r="K107" s="13" t="str">
        <f t="array" ref="K107">IFS(F107&gt;=90,"Excellent",F107&gt;=70,"Good",F107&gt;=50,"Average",F107&lt;50,"Poor")</f>
        <v>Average</v>
      </c>
      <c r="L107" s="13" t="str">
        <f t="shared" si="2"/>
        <v>Fin</v>
      </c>
      <c r="M107" s="13" t="str">
        <f t="shared" si="3"/>
        <v>Kimberly Myers</v>
      </c>
      <c r="N107" s="13">
        <f t="shared" si="4"/>
        <v>6</v>
      </c>
      <c r="O107" s="13">
        <f t="shared" si="5"/>
        <v>25</v>
      </c>
      <c r="P107" s="13" t="str">
        <f t="shared" si="6"/>
        <v>May</v>
      </c>
      <c r="Q107" s="13">
        <f t="shared" si="7"/>
        <v>6</v>
      </c>
      <c r="R107" s="13" t="str">
        <f t="shared" si="8"/>
        <v>Not Eligible</v>
      </c>
      <c r="S107" s="13" t="str">
        <f t="shared" si="9"/>
        <v>False</v>
      </c>
    </row>
    <row r="108" ht="15.75" hidden="1" customHeight="1">
      <c r="A108" s="13" t="s">
        <v>335</v>
      </c>
      <c r="B108" s="13" t="s">
        <v>336</v>
      </c>
      <c r="C108" s="13" t="s">
        <v>337</v>
      </c>
      <c r="D108" s="13" t="s">
        <v>24</v>
      </c>
      <c r="E108" s="13" t="s">
        <v>89</v>
      </c>
      <c r="F108" s="14">
        <v>88.0</v>
      </c>
      <c r="G108" s="15">
        <v>36917.0</v>
      </c>
      <c r="H108" s="15">
        <v>43626.0</v>
      </c>
      <c r="I108" s="10">
        <v>9154.0</v>
      </c>
      <c r="J108" s="13" t="str">
        <f t="shared" si="1"/>
        <v>Pass</v>
      </c>
      <c r="K108" s="13" t="str">
        <f t="array" ref="K108">IFS(F108&gt;=90,"Excellent",F108&gt;=70,"Good",F108&gt;=50,"Average",F108&lt;50,"Poor")</f>
        <v>Good</v>
      </c>
      <c r="L108" s="13" t="str">
        <f t="shared" si="2"/>
        <v>IT</v>
      </c>
      <c r="M108" s="13" t="str">
        <f t="shared" si="3"/>
        <v>Daniel Flowers</v>
      </c>
      <c r="N108" s="13">
        <f t="shared" si="4"/>
        <v>6</v>
      </c>
      <c r="O108" s="13">
        <f t="shared" si="5"/>
        <v>24</v>
      </c>
      <c r="P108" s="13" t="str">
        <f t="shared" si="6"/>
        <v>June</v>
      </c>
      <c r="Q108" s="13">
        <f t="shared" si="7"/>
        <v>6</v>
      </c>
      <c r="R108" s="13" t="str">
        <f t="shared" si="8"/>
        <v>Not Eligible</v>
      </c>
      <c r="S108" s="13" t="str">
        <f t="shared" si="9"/>
        <v>False</v>
      </c>
    </row>
    <row r="109" ht="15.75" hidden="1" customHeight="1">
      <c r="A109" s="13" t="s">
        <v>129</v>
      </c>
      <c r="B109" s="13" t="s">
        <v>73</v>
      </c>
      <c r="C109" s="13" t="s">
        <v>130</v>
      </c>
      <c r="D109" s="13" t="s">
        <v>75</v>
      </c>
      <c r="E109" s="13" t="s">
        <v>76</v>
      </c>
      <c r="F109" s="14">
        <v>52.0</v>
      </c>
      <c r="G109" s="15">
        <v>35434.0</v>
      </c>
      <c r="H109" s="15">
        <v>43636.0</v>
      </c>
      <c r="I109" s="10">
        <v>6925.0</v>
      </c>
      <c r="J109" s="13" t="str">
        <f t="shared" si="1"/>
        <v>Pass</v>
      </c>
      <c r="K109" s="13" t="str">
        <f t="array" ref="K109">IFS(F109&gt;=90,"Excellent",F109&gt;=70,"Good",F109&gt;=50,"Average",F109&lt;50,"Poor")</f>
        <v>Average</v>
      </c>
      <c r="L109" s="13" t="str">
        <f t="shared" si="2"/>
        <v>Mar</v>
      </c>
      <c r="M109" s="13" t="str">
        <f t="shared" si="3"/>
        <v>Joanne Gordon</v>
      </c>
      <c r="N109" s="13">
        <f t="shared" si="4"/>
        <v>6</v>
      </c>
      <c r="O109" s="13">
        <f t="shared" si="5"/>
        <v>28</v>
      </c>
      <c r="P109" s="13" t="str">
        <f t="shared" si="6"/>
        <v>June</v>
      </c>
      <c r="Q109" s="13">
        <f t="shared" si="7"/>
        <v>6</v>
      </c>
      <c r="R109" s="13" t="str">
        <f t="shared" si="8"/>
        <v>Eligible</v>
      </c>
      <c r="S109" s="13" t="str">
        <f t="shared" si="9"/>
        <v>False</v>
      </c>
    </row>
    <row r="110" ht="15.75" hidden="1" customHeight="1">
      <c r="A110" s="13" t="s">
        <v>380</v>
      </c>
      <c r="B110" s="13" t="s">
        <v>381</v>
      </c>
      <c r="C110" s="13" t="s">
        <v>382</v>
      </c>
      <c r="D110" s="13" t="s">
        <v>46</v>
      </c>
      <c r="E110" s="13" t="s">
        <v>53</v>
      </c>
      <c r="F110" s="14">
        <v>69.0</v>
      </c>
      <c r="G110" s="15">
        <v>37546.0</v>
      </c>
      <c r="H110" s="15">
        <v>43641.0</v>
      </c>
      <c r="I110" s="10">
        <v>8549.0</v>
      </c>
      <c r="J110" s="13" t="str">
        <f t="shared" si="1"/>
        <v>Pass</v>
      </c>
      <c r="K110" s="13" t="str">
        <f t="array" ref="K110">IFS(F110&gt;=90,"Excellent",F110&gt;=70,"Good",F110&gt;=50,"Average",F110&lt;50,"Poor")</f>
        <v>Average</v>
      </c>
      <c r="L110" s="13" t="str">
        <f t="shared" si="2"/>
        <v>Sal</v>
      </c>
      <c r="M110" s="13" t="str">
        <f t="shared" si="3"/>
        <v>Ashley Walls</v>
      </c>
      <c r="N110" s="13">
        <f t="shared" si="4"/>
        <v>6</v>
      </c>
      <c r="O110" s="13">
        <f t="shared" si="5"/>
        <v>23</v>
      </c>
      <c r="P110" s="13" t="str">
        <f t="shared" si="6"/>
        <v>June</v>
      </c>
      <c r="Q110" s="13">
        <f t="shared" si="7"/>
        <v>6</v>
      </c>
      <c r="R110" s="13" t="str">
        <f t="shared" si="8"/>
        <v>Not Eligible</v>
      </c>
      <c r="S110" s="13" t="str">
        <f t="shared" si="9"/>
        <v>True</v>
      </c>
    </row>
    <row r="111" ht="15.75" hidden="1" customHeight="1">
      <c r="A111" s="13" t="s">
        <v>168</v>
      </c>
      <c r="B111" s="13" t="s">
        <v>169</v>
      </c>
      <c r="C111" s="13" t="s">
        <v>170</v>
      </c>
      <c r="D111" s="13" t="s">
        <v>75</v>
      </c>
      <c r="E111" s="13" t="s">
        <v>85</v>
      </c>
      <c r="F111" s="14">
        <v>55.0</v>
      </c>
      <c r="G111" s="15">
        <v>35965.0</v>
      </c>
      <c r="H111" s="15">
        <v>43651.0</v>
      </c>
      <c r="I111" s="10">
        <v>5886.0</v>
      </c>
      <c r="J111" s="13" t="str">
        <f t="shared" si="1"/>
        <v>Pass</v>
      </c>
      <c r="K111" s="13" t="str">
        <f t="array" ref="K111">IFS(F111&gt;=90,"Excellent",F111&gt;=70,"Good",F111&gt;=50,"Average",F111&lt;50,"Poor")</f>
        <v>Average</v>
      </c>
      <c r="L111" s="13" t="str">
        <f t="shared" si="2"/>
        <v>Mar</v>
      </c>
      <c r="M111" s="13" t="str">
        <f t="shared" si="3"/>
        <v>Miguel Jackson</v>
      </c>
      <c r="N111" s="13">
        <f t="shared" si="4"/>
        <v>6</v>
      </c>
      <c r="O111" s="13">
        <f t="shared" si="5"/>
        <v>27</v>
      </c>
      <c r="P111" s="13" t="str">
        <f t="shared" si="6"/>
        <v>July</v>
      </c>
      <c r="Q111" s="13">
        <f t="shared" si="7"/>
        <v>6</v>
      </c>
      <c r="R111" s="13" t="str">
        <f t="shared" si="8"/>
        <v>Eligible</v>
      </c>
      <c r="S111" s="13" t="str">
        <f t="shared" si="9"/>
        <v>False</v>
      </c>
    </row>
    <row r="112" ht="15.75" hidden="1" customHeight="1">
      <c r="A112" s="13" t="s">
        <v>405</v>
      </c>
      <c r="B112" s="13" t="s">
        <v>406</v>
      </c>
      <c r="C112" s="13" t="s">
        <v>206</v>
      </c>
      <c r="D112" s="13" t="s">
        <v>46</v>
      </c>
      <c r="E112" s="13" t="s">
        <v>53</v>
      </c>
      <c r="F112" s="14">
        <v>31.0</v>
      </c>
      <c r="G112" s="15">
        <v>38132.0</v>
      </c>
      <c r="H112" s="15">
        <v>43676.0</v>
      </c>
      <c r="I112" s="10">
        <v>5530.0</v>
      </c>
      <c r="J112" s="13" t="str">
        <f t="shared" si="1"/>
        <v>Fail</v>
      </c>
      <c r="K112" s="13" t="str">
        <f t="array" ref="K112">IFS(F112&gt;=90,"Excellent",F112&gt;=70,"Good",F112&gt;=50,"Average",F112&lt;50,"Poor")</f>
        <v>Poor</v>
      </c>
      <c r="L112" s="13" t="str">
        <f t="shared" si="2"/>
        <v>Sal</v>
      </c>
      <c r="M112" s="13" t="str">
        <f t="shared" si="3"/>
        <v>Tony Holt</v>
      </c>
      <c r="N112" s="13">
        <f t="shared" si="4"/>
        <v>6</v>
      </c>
      <c r="O112" s="13">
        <f t="shared" si="5"/>
        <v>21</v>
      </c>
      <c r="P112" s="13" t="str">
        <f t="shared" si="6"/>
        <v>July</v>
      </c>
      <c r="Q112" s="13">
        <f t="shared" si="7"/>
        <v>6</v>
      </c>
      <c r="R112" s="13" t="str">
        <f t="shared" si="8"/>
        <v>Not Eligible</v>
      </c>
      <c r="S112" s="13" t="str">
        <f t="shared" si="9"/>
        <v>True</v>
      </c>
    </row>
    <row r="113" ht="15.75" hidden="1" customHeight="1">
      <c r="A113" s="13" t="s">
        <v>340</v>
      </c>
      <c r="B113" s="13" t="s">
        <v>66</v>
      </c>
      <c r="C113" s="13" t="s">
        <v>341</v>
      </c>
      <c r="D113" s="13" t="s">
        <v>29</v>
      </c>
      <c r="E113" s="13" t="s">
        <v>39</v>
      </c>
      <c r="F113" s="14">
        <v>73.0</v>
      </c>
      <c r="G113" s="15">
        <v>34114.0</v>
      </c>
      <c r="H113" s="15">
        <v>43682.0</v>
      </c>
      <c r="I113" s="10">
        <v>8560.0</v>
      </c>
      <c r="J113" s="13" t="str">
        <f t="shared" si="1"/>
        <v>Pass</v>
      </c>
      <c r="K113" s="13" t="str">
        <f t="array" ref="K113">IFS(F113&gt;=90,"Excellent",F113&gt;=70,"Good",F113&gt;=50,"Average",F113&lt;50,"Poor")</f>
        <v>Good</v>
      </c>
      <c r="L113" s="13" t="str">
        <f t="shared" si="2"/>
        <v>Fin</v>
      </c>
      <c r="M113" s="13" t="str">
        <f t="shared" si="3"/>
        <v>Samuel Washington</v>
      </c>
      <c r="N113" s="13">
        <f t="shared" si="4"/>
        <v>6</v>
      </c>
      <c r="O113" s="13">
        <f t="shared" si="5"/>
        <v>32</v>
      </c>
      <c r="P113" s="13" t="str">
        <f t="shared" si="6"/>
        <v>August</v>
      </c>
      <c r="Q113" s="13">
        <f t="shared" si="7"/>
        <v>6</v>
      </c>
      <c r="R113" s="13" t="str">
        <f t="shared" si="8"/>
        <v>Eligible</v>
      </c>
      <c r="S113" s="13" t="str">
        <f t="shared" si="9"/>
        <v>False</v>
      </c>
    </row>
    <row r="114" ht="15.75" hidden="1" customHeight="1">
      <c r="A114" s="13" t="s">
        <v>86</v>
      </c>
      <c r="B114" s="13" t="s">
        <v>87</v>
      </c>
      <c r="C114" s="13" t="s">
        <v>88</v>
      </c>
      <c r="D114" s="13" t="s">
        <v>24</v>
      </c>
      <c r="E114" s="13" t="s">
        <v>89</v>
      </c>
      <c r="F114" s="14">
        <v>56.0</v>
      </c>
      <c r="G114" s="15">
        <v>31613.0</v>
      </c>
      <c r="H114" s="15">
        <v>43684.0</v>
      </c>
      <c r="I114" s="10">
        <v>8598.0</v>
      </c>
      <c r="J114" s="13" t="str">
        <f t="shared" si="1"/>
        <v>Pass</v>
      </c>
      <c r="K114" s="13" t="str">
        <f t="array" ref="K114">IFS(F114&gt;=90,"Excellent",F114&gt;=70,"Good",F114&gt;=50,"Average",F114&lt;50,"Poor")</f>
        <v>Average</v>
      </c>
      <c r="L114" s="13" t="str">
        <f t="shared" si="2"/>
        <v>IT</v>
      </c>
      <c r="M114" s="13" t="str">
        <f t="shared" si="3"/>
        <v>Madison Villarreal</v>
      </c>
      <c r="N114" s="13">
        <f t="shared" si="4"/>
        <v>6</v>
      </c>
      <c r="O114" s="13">
        <f t="shared" si="5"/>
        <v>39</v>
      </c>
      <c r="P114" s="13" t="str">
        <f t="shared" si="6"/>
        <v>August</v>
      </c>
      <c r="Q114" s="13">
        <f t="shared" si="7"/>
        <v>6</v>
      </c>
      <c r="R114" s="13" t="str">
        <f t="shared" si="8"/>
        <v>Eligible</v>
      </c>
      <c r="S114" s="13" t="str">
        <f t="shared" si="9"/>
        <v>False</v>
      </c>
    </row>
    <row r="115" ht="15.75" customHeight="1">
      <c r="A115" s="4" t="s">
        <v>389</v>
      </c>
      <c r="B115" s="4" t="s">
        <v>390</v>
      </c>
      <c r="C115" s="4" t="s">
        <v>391</v>
      </c>
      <c r="D115" s="4" t="s">
        <v>75</v>
      </c>
      <c r="E115" s="4" t="s">
        <v>76</v>
      </c>
      <c r="F115" s="5">
        <v>88.0</v>
      </c>
      <c r="G115" s="6">
        <v>36457.0</v>
      </c>
      <c r="H115" s="16">
        <v>43711.0</v>
      </c>
      <c r="I115" s="17">
        <v>7411.0</v>
      </c>
      <c r="J115" s="4" t="str">
        <f t="shared" si="1"/>
        <v>Pass</v>
      </c>
      <c r="K115" s="4" t="str">
        <f t="array" ref="K115">IFS(F115&gt;=90,"Excellent",F115&gt;=70,"Good",F115&gt;=50,"Average",F115&lt;50,"Poor")</f>
        <v>Good</v>
      </c>
      <c r="L115" s="4" t="str">
        <f t="shared" si="2"/>
        <v>Mar</v>
      </c>
      <c r="M115" s="4" t="str">
        <f t="shared" si="3"/>
        <v>Carly Guerra</v>
      </c>
      <c r="N115" s="4">
        <f t="shared" si="4"/>
        <v>6</v>
      </c>
      <c r="O115" s="4">
        <f t="shared" si="5"/>
        <v>26</v>
      </c>
      <c r="P115" s="4" t="str">
        <f t="shared" si="6"/>
        <v>September</v>
      </c>
      <c r="Q115" s="4">
        <f t="shared" si="7"/>
        <v>6</v>
      </c>
      <c r="R115" s="4" t="str">
        <f t="shared" si="8"/>
        <v>Eligible</v>
      </c>
      <c r="S115" s="4" t="str">
        <f t="shared" si="9"/>
        <v>False</v>
      </c>
    </row>
    <row r="116" ht="15.75" hidden="1" customHeight="1">
      <c r="A116" s="13" t="s">
        <v>165</v>
      </c>
      <c r="B116" s="13" t="s">
        <v>166</v>
      </c>
      <c r="C116" s="13" t="s">
        <v>167</v>
      </c>
      <c r="D116" s="13" t="s">
        <v>34</v>
      </c>
      <c r="E116" s="13" t="s">
        <v>71</v>
      </c>
      <c r="F116" s="14">
        <v>91.0</v>
      </c>
      <c r="G116" s="15">
        <v>35391.0</v>
      </c>
      <c r="H116" s="15">
        <v>43713.0</v>
      </c>
      <c r="I116" s="10">
        <v>7472.0</v>
      </c>
      <c r="J116" s="13" t="str">
        <f t="shared" si="1"/>
        <v>Pass</v>
      </c>
      <c r="K116" s="13" t="str">
        <f t="array" ref="K116">IFS(F116&gt;=90,"Excellent",F116&gt;=70,"Good",F116&gt;=50,"Average",F116&lt;50,"Poor")</f>
        <v>Excellent</v>
      </c>
      <c r="L116" s="13" t="str">
        <f t="shared" si="2"/>
        <v>HR</v>
      </c>
      <c r="M116" s="13" t="str">
        <f t="shared" si="3"/>
        <v>Jillian Chung</v>
      </c>
      <c r="N116" s="13">
        <f t="shared" si="4"/>
        <v>6</v>
      </c>
      <c r="O116" s="13">
        <f t="shared" si="5"/>
        <v>28</v>
      </c>
      <c r="P116" s="13" t="str">
        <f t="shared" si="6"/>
        <v>September</v>
      </c>
      <c r="Q116" s="13">
        <f t="shared" si="7"/>
        <v>6</v>
      </c>
      <c r="R116" s="13" t="str">
        <f t="shared" si="8"/>
        <v>Eligible</v>
      </c>
      <c r="S116" s="13" t="str">
        <f t="shared" si="9"/>
        <v>True</v>
      </c>
    </row>
    <row r="117" ht="15.75" hidden="1" customHeight="1">
      <c r="A117" s="13" t="s">
        <v>237</v>
      </c>
      <c r="B117" s="13" t="s">
        <v>238</v>
      </c>
      <c r="C117" s="13" t="s">
        <v>239</v>
      </c>
      <c r="D117" s="13" t="s">
        <v>24</v>
      </c>
      <c r="E117" s="13" t="s">
        <v>89</v>
      </c>
      <c r="F117" s="14">
        <v>31.0</v>
      </c>
      <c r="G117" s="15">
        <v>33367.0</v>
      </c>
      <c r="H117" s="15">
        <v>43727.0</v>
      </c>
      <c r="I117" s="10">
        <v>6129.0</v>
      </c>
      <c r="J117" s="13" t="str">
        <f t="shared" si="1"/>
        <v>Fail</v>
      </c>
      <c r="K117" s="13" t="str">
        <f t="array" ref="K117">IFS(F117&gt;=90,"Excellent",F117&gt;=70,"Good",F117&gt;=50,"Average",F117&lt;50,"Poor")</f>
        <v>Poor</v>
      </c>
      <c r="L117" s="13" t="str">
        <f t="shared" si="2"/>
        <v>IT</v>
      </c>
      <c r="M117" s="13" t="str">
        <f t="shared" si="3"/>
        <v>Travis Medina</v>
      </c>
      <c r="N117" s="13">
        <f t="shared" si="4"/>
        <v>6</v>
      </c>
      <c r="O117" s="13">
        <f t="shared" si="5"/>
        <v>34</v>
      </c>
      <c r="P117" s="13" t="str">
        <f t="shared" si="6"/>
        <v>September</v>
      </c>
      <c r="Q117" s="13">
        <f t="shared" si="7"/>
        <v>6</v>
      </c>
      <c r="R117" s="13" t="str">
        <f t="shared" si="8"/>
        <v>Eligible</v>
      </c>
      <c r="S117" s="13" t="str">
        <f t="shared" si="9"/>
        <v>False</v>
      </c>
    </row>
    <row r="118" ht="15.75" hidden="1" customHeight="1">
      <c r="A118" s="13" t="s">
        <v>204</v>
      </c>
      <c r="B118" s="13" t="s">
        <v>205</v>
      </c>
      <c r="C118" s="13" t="s">
        <v>206</v>
      </c>
      <c r="D118" s="13" t="s">
        <v>24</v>
      </c>
      <c r="E118" s="13" t="s">
        <v>207</v>
      </c>
      <c r="F118" s="14">
        <v>66.0</v>
      </c>
      <c r="G118" s="15">
        <v>32808.0</v>
      </c>
      <c r="H118" s="15">
        <v>43747.0</v>
      </c>
      <c r="I118" s="10">
        <v>8975.0</v>
      </c>
      <c r="J118" s="13" t="str">
        <f t="shared" si="1"/>
        <v>Pass</v>
      </c>
      <c r="K118" s="13" t="str">
        <f t="array" ref="K118">IFS(F118&gt;=90,"Excellent",F118&gt;=70,"Good",F118&gt;=50,"Average",F118&lt;50,"Poor")</f>
        <v>Average</v>
      </c>
      <c r="L118" s="13" t="str">
        <f t="shared" si="2"/>
        <v>IT</v>
      </c>
      <c r="M118" s="13" t="str">
        <f t="shared" si="3"/>
        <v>Joshua Holt</v>
      </c>
      <c r="N118" s="13">
        <f t="shared" si="4"/>
        <v>6</v>
      </c>
      <c r="O118" s="13">
        <f t="shared" si="5"/>
        <v>36</v>
      </c>
      <c r="P118" s="13" t="str">
        <f t="shared" si="6"/>
        <v>October</v>
      </c>
      <c r="Q118" s="13">
        <f t="shared" si="7"/>
        <v>6</v>
      </c>
      <c r="R118" s="13" t="str">
        <f t="shared" si="8"/>
        <v>Eligible</v>
      </c>
      <c r="S118" s="13" t="str">
        <f t="shared" si="9"/>
        <v>False</v>
      </c>
    </row>
    <row r="119" ht="15.75" hidden="1" customHeight="1">
      <c r="A119" s="13" t="s">
        <v>143</v>
      </c>
      <c r="B119" s="13" t="s">
        <v>144</v>
      </c>
      <c r="C119" s="13" t="s">
        <v>145</v>
      </c>
      <c r="D119" s="13" t="s">
        <v>24</v>
      </c>
      <c r="E119" s="13" t="s">
        <v>25</v>
      </c>
      <c r="F119" s="14">
        <v>93.0</v>
      </c>
      <c r="G119" s="15">
        <v>31631.0</v>
      </c>
      <c r="H119" s="15">
        <v>43776.0</v>
      </c>
      <c r="I119" s="10">
        <v>3047.0</v>
      </c>
      <c r="J119" s="13" t="str">
        <f t="shared" si="1"/>
        <v>Pass</v>
      </c>
      <c r="K119" s="13" t="str">
        <f t="array" ref="K119">IFS(F119&gt;=90,"Excellent",F119&gt;=70,"Good",F119&gt;=50,"Average",F119&lt;50,"Poor")</f>
        <v>Excellent</v>
      </c>
      <c r="L119" s="13" t="str">
        <f t="shared" si="2"/>
        <v>IT</v>
      </c>
      <c r="M119" s="13" t="str">
        <f t="shared" si="3"/>
        <v>Lisa Rangel</v>
      </c>
      <c r="N119" s="13">
        <f t="shared" si="4"/>
        <v>6</v>
      </c>
      <c r="O119" s="13">
        <f t="shared" si="5"/>
        <v>39</v>
      </c>
      <c r="P119" s="13" t="str">
        <f t="shared" si="6"/>
        <v>November</v>
      </c>
      <c r="Q119" s="13">
        <f t="shared" si="7"/>
        <v>5</v>
      </c>
      <c r="R119" s="13" t="str">
        <f t="shared" si="8"/>
        <v>Eligible</v>
      </c>
      <c r="S119" s="13" t="str">
        <f t="shared" si="9"/>
        <v>False</v>
      </c>
    </row>
    <row r="120" ht="15.75" hidden="1" customHeight="1">
      <c r="A120" s="13" t="s">
        <v>485</v>
      </c>
      <c r="B120" s="13" t="s">
        <v>22</v>
      </c>
      <c r="C120" s="13" t="s">
        <v>119</v>
      </c>
      <c r="D120" s="13" t="s">
        <v>29</v>
      </c>
      <c r="E120" s="13" t="s">
        <v>30</v>
      </c>
      <c r="F120" s="14">
        <v>90.0</v>
      </c>
      <c r="G120" s="15">
        <v>33401.0</v>
      </c>
      <c r="H120" s="15">
        <v>43789.0</v>
      </c>
      <c r="I120" s="10">
        <v>6446.0</v>
      </c>
      <c r="J120" s="13" t="str">
        <f t="shared" si="1"/>
        <v>Pass</v>
      </c>
      <c r="K120" s="13" t="str">
        <f t="array" ref="K120">IFS(F120&gt;=90,"Excellent",F120&gt;=70,"Good",F120&gt;=50,"Average",F120&lt;50,"Poor")</f>
        <v>Excellent</v>
      </c>
      <c r="L120" s="13" t="str">
        <f t="shared" si="2"/>
        <v>Fin</v>
      </c>
      <c r="M120" s="13" t="str">
        <f t="shared" si="3"/>
        <v>Michael Anderson</v>
      </c>
      <c r="N120" s="13">
        <f t="shared" si="4"/>
        <v>6</v>
      </c>
      <c r="O120" s="13">
        <f t="shared" si="5"/>
        <v>34</v>
      </c>
      <c r="P120" s="13" t="str">
        <f t="shared" si="6"/>
        <v>November</v>
      </c>
      <c r="Q120" s="13">
        <f t="shared" si="7"/>
        <v>5</v>
      </c>
      <c r="R120" s="13" t="str">
        <f t="shared" si="8"/>
        <v>Eligible</v>
      </c>
      <c r="S120" s="13" t="str">
        <f t="shared" si="9"/>
        <v>False</v>
      </c>
    </row>
    <row r="121" ht="15.75" hidden="1" customHeight="1">
      <c r="A121" s="13" t="s">
        <v>190</v>
      </c>
      <c r="B121" s="13" t="s">
        <v>191</v>
      </c>
      <c r="C121" s="13" t="s">
        <v>192</v>
      </c>
      <c r="D121" s="13" t="s">
        <v>75</v>
      </c>
      <c r="E121" s="13" t="s">
        <v>76</v>
      </c>
      <c r="F121" s="14">
        <v>75.0</v>
      </c>
      <c r="G121" s="15">
        <v>37789.0</v>
      </c>
      <c r="H121" s="15">
        <v>43801.0</v>
      </c>
      <c r="I121" s="10">
        <v>3649.0</v>
      </c>
      <c r="J121" s="13" t="str">
        <f t="shared" si="1"/>
        <v>Pass</v>
      </c>
      <c r="K121" s="13" t="str">
        <f t="array" ref="K121">IFS(F121&gt;=90,"Excellent",F121&gt;=70,"Good",F121&gt;=50,"Average",F121&lt;50,"Poor")</f>
        <v>Good</v>
      </c>
      <c r="L121" s="13" t="str">
        <f t="shared" si="2"/>
        <v>Mar</v>
      </c>
      <c r="M121" s="13" t="str">
        <f t="shared" si="3"/>
        <v>Jessica Hicks</v>
      </c>
      <c r="N121" s="13">
        <f t="shared" si="4"/>
        <v>6</v>
      </c>
      <c r="O121" s="13">
        <f t="shared" si="5"/>
        <v>22</v>
      </c>
      <c r="P121" s="13" t="str">
        <f t="shared" si="6"/>
        <v>December</v>
      </c>
      <c r="Q121" s="13">
        <f t="shared" si="7"/>
        <v>5</v>
      </c>
      <c r="R121" s="13" t="str">
        <f t="shared" si="8"/>
        <v>Not Eligible</v>
      </c>
      <c r="S121" s="13" t="str">
        <f t="shared" si="9"/>
        <v>False</v>
      </c>
    </row>
    <row r="122" ht="15.75" hidden="1" customHeight="1">
      <c r="A122" s="13" t="s">
        <v>351</v>
      </c>
      <c r="B122" s="13" t="s">
        <v>352</v>
      </c>
      <c r="C122" s="13" t="s">
        <v>353</v>
      </c>
      <c r="D122" s="13" t="s">
        <v>24</v>
      </c>
      <c r="E122" s="13" t="s">
        <v>25</v>
      </c>
      <c r="F122" s="14">
        <v>74.0</v>
      </c>
      <c r="G122" s="15">
        <v>32593.0</v>
      </c>
      <c r="H122" s="15">
        <v>43834.0</v>
      </c>
      <c r="I122" s="10">
        <v>6825.0</v>
      </c>
      <c r="J122" s="13" t="str">
        <f t="shared" si="1"/>
        <v>Pass</v>
      </c>
      <c r="K122" s="13" t="str">
        <f t="array" ref="K122">IFS(F122&gt;=90,"Excellent",F122&gt;=70,"Good",F122&gt;=50,"Average",F122&lt;50,"Poor")</f>
        <v>Good</v>
      </c>
      <c r="L122" s="13" t="str">
        <f t="shared" si="2"/>
        <v>IT</v>
      </c>
      <c r="M122" s="13" t="str">
        <f t="shared" si="3"/>
        <v>Raymond Watkins</v>
      </c>
      <c r="N122" s="13">
        <f t="shared" si="4"/>
        <v>6</v>
      </c>
      <c r="O122" s="13">
        <f t="shared" si="5"/>
        <v>36</v>
      </c>
      <c r="P122" s="13" t="str">
        <f t="shared" si="6"/>
        <v>January</v>
      </c>
      <c r="Q122" s="13">
        <f t="shared" si="7"/>
        <v>5</v>
      </c>
      <c r="R122" s="13" t="str">
        <f t="shared" si="8"/>
        <v>Eligible</v>
      </c>
      <c r="S122" s="13" t="str">
        <f t="shared" si="9"/>
        <v>False</v>
      </c>
    </row>
    <row r="123" ht="15.75" hidden="1" customHeight="1">
      <c r="A123" s="13" t="s">
        <v>458</v>
      </c>
      <c r="B123" s="13" t="s">
        <v>459</v>
      </c>
      <c r="C123" s="13" t="s">
        <v>460</v>
      </c>
      <c r="D123" s="13" t="s">
        <v>24</v>
      </c>
      <c r="E123" s="13" t="s">
        <v>207</v>
      </c>
      <c r="F123" s="14">
        <v>45.0</v>
      </c>
      <c r="G123" s="15">
        <v>35492.0</v>
      </c>
      <c r="H123" s="15">
        <v>43926.0</v>
      </c>
      <c r="I123" s="10">
        <v>7288.0</v>
      </c>
      <c r="J123" s="13" t="str">
        <f t="shared" si="1"/>
        <v>Fail</v>
      </c>
      <c r="K123" s="13" t="str">
        <f t="array" ref="K123">IFS(F123&gt;=90,"Excellent",F123&gt;=70,"Good",F123&gt;=50,"Average",F123&lt;50,"Poor")</f>
        <v>Poor</v>
      </c>
      <c r="L123" s="13" t="str">
        <f t="shared" si="2"/>
        <v>IT</v>
      </c>
      <c r="M123" s="13" t="str">
        <f t="shared" si="3"/>
        <v>Aaron Crawford</v>
      </c>
      <c r="N123" s="13">
        <f t="shared" si="4"/>
        <v>6</v>
      </c>
      <c r="O123" s="13">
        <f t="shared" si="5"/>
        <v>28</v>
      </c>
      <c r="P123" s="13" t="str">
        <f t="shared" si="6"/>
        <v>April</v>
      </c>
      <c r="Q123" s="13">
        <f t="shared" si="7"/>
        <v>5</v>
      </c>
      <c r="R123" s="13" t="str">
        <f t="shared" si="8"/>
        <v>Eligible</v>
      </c>
      <c r="S123" s="13" t="str">
        <f t="shared" si="9"/>
        <v>False</v>
      </c>
    </row>
    <row r="124" ht="15.75" hidden="1" customHeight="1">
      <c r="A124" s="13" t="s">
        <v>363</v>
      </c>
      <c r="B124" s="13" t="s">
        <v>27</v>
      </c>
      <c r="C124" s="13" t="s">
        <v>364</v>
      </c>
      <c r="D124" s="13" t="s">
        <v>24</v>
      </c>
      <c r="E124" s="13" t="s">
        <v>207</v>
      </c>
      <c r="F124" s="14">
        <v>46.0</v>
      </c>
      <c r="G124" s="15">
        <v>32490.0</v>
      </c>
      <c r="H124" s="15">
        <v>43933.0</v>
      </c>
      <c r="I124" s="10">
        <v>5923.0</v>
      </c>
      <c r="J124" s="13" t="str">
        <f t="shared" si="1"/>
        <v>Fail</v>
      </c>
      <c r="K124" s="13" t="str">
        <f t="array" ref="K124">IFS(F124&gt;=90,"Excellent",F124&gt;=70,"Good",F124&gt;=50,"Average",F124&lt;50,"Poor")</f>
        <v>Poor</v>
      </c>
      <c r="L124" s="13" t="str">
        <f t="shared" si="2"/>
        <v>IT</v>
      </c>
      <c r="M124" s="13" t="str">
        <f t="shared" si="3"/>
        <v>Adam Moss</v>
      </c>
      <c r="N124" s="13">
        <f t="shared" si="4"/>
        <v>6</v>
      </c>
      <c r="O124" s="13">
        <f t="shared" si="5"/>
        <v>36</v>
      </c>
      <c r="P124" s="13" t="str">
        <f t="shared" si="6"/>
        <v>April</v>
      </c>
      <c r="Q124" s="13">
        <f t="shared" si="7"/>
        <v>5</v>
      </c>
      <c r="R124" s="13" t="str">
        <f t="shared" si="8"/>
        <v>Eligible</v>
      </c>
      <c r="S124" s="13" t="str">
        <f t="shared" si="9"/>
        <v>False</v>
      </c>
    </row>
    <row r="125" ht="15.75" hidden="1" customHeight="1">
      <c r="A125" s="13" t="s">
        <v>65</v>
      </c>
      <c r="B125" s="13" t="s">
        <v>66</v>
      </c>
      <c r="C125" s="13" t="s">
        <v>67</v>
      </c>
      <c r="D125" s="13" t="s">
        <v>29</v>
      </c>
      <c r="E125" s="13" t="s">
        <v>39</v>
      </c>
      <c r="F125" s="14">
        <v>87.0</v>
      </c>
      <c r="G125" s="15">
        <v>32623.0</v>
      </c>
      <c r="H125" s="15">
        <v>43975.0</v>
      </c>
      <c r="I125" s="10">
        <v>8784.0</v>
      </c>
      <c r="J125" s="13" t="str">
        <f t="shared" si="1"/>
        <v>Pass</v>
      </c>
      <c r="K125" s="13" t="str">
        <f t="array" ref="K125">IFS(F125&gt;=90,"Excellent",F125&gt;=70,"Good",F125&gt;=50,"Average",F125&lt;50,"Poor")</f>
        <v>Good</v>
      </c>
      <c r="L125" s="13" t="str">
        <f t="shared" si="2"/>
        <v>Fin</v>
      </c>
      <c r="M125" s="13" t="str">
        <f t="shared" si="3"/>
        <v>Samuel Whitney</v>
      </c>
      <c r="N125" s="13">
        <f t="shared" si="4"/>
        <v>6</v>
      </c>
      <c r="O125" s="13">
        <f t="shared" si="5"/>
        <v>36</v>
      </c>
      <c r="P125" s="13" t="str">
        <f t="shared" si="6"/>
        <v>May</v>
      </c>
      <c r="Q125" s="13">
        <f t="shared" si="7"/>
        <v>5</v>
      </c>
      <c r="R125" s="13" t="str">
        <f t="shared" si="8"/>
        <v>Eligible</v>
      </c>
      <c r="S125" s="13" t="str">
        <f t="shared" si="9"/>
        <v>False</v>
      </c>
    </row>
    <row r="126" ht="15.75" hidden="1" customHeight="1">
      <c r="A126" s="13" t="s">
        <v>482</v>
      </c>
      <c r="B126" s="13" t="s">
        <v>103</v>
      </c>
      <c r="C126" s="13" t="s">
        <v>362</v>
      </c>
      <c r="D126" s="13" t="s">
        <v>46</v>
      </c>
      <c r="E126" s="13" t="s">
        <v>53</v>
      </c>
      <c r="F126" s="14">
        <v>31.0</v>
      </c>
      <c r="G126" s="15">
        <v>38170.0</v>
      </c>
      <c r="H126" s="15">
        <v>43975.0</v>
      </c>
      <c r="I126" s="10">
        <v>6961.0</v>
      </c>
      <c r="J126" s="13" t="str">
        <f t="shared" si="1"/>
        <v>Fail</v>
      </c>
      <c r="K126" s="13" t="str">
        <f t="array" ref="K126">IFS(F126&gt;=90,"Excellent",F126&gt;=70,"Good",F126&gt;=50,"Average",F126&lt;50,"Poor")</f>
        <v>Poor</v>
      </c>
      <c r="L126" s="13" t="str">
        <f t="shared" si="2"/>
        <v>Sal</v>
      </c>
      <c r="M126" s="13" t="str">
        <f t="shared" si="3"/>
        <v>Stephanie Williams</v>
      </c>
      <c r="N126" s="13">
        <f t="shared" si="4"/>
        <v>6</v>
      </c>
      <c r="O126" s="13">
        <f t="shared" si="5"/>
        <v>21</v>
      </c>
      <c r="P126" s="13" t="str">
        <f t="shared" si="6"/>
        <v>May</v>
      </c>
      <c r="Q126" s="13">
        <f t="shared" si="7"/>
        <v>5</v>
      </c>
      <c r="R126" s="13" t="str">
        <f t="shared" si="8"/>
        <v>Not Eligible</v>
      </c>
      <c r="S126" s="13" t="str">
        <f t="shared" si="9"/>
        <v>True</v>
      </c>
    </row>
    <row r="127" ht="15.75" hidden="1" customHeight="1">
      <c r="A127" s="13" t="s">
        <v>269</v>
      </c>
      <c r="B127" s="13" t="s">
        <v>270</v>
      </c>
      <c r="C127" s="13" t="s">
        <v>271</v>
      </c>
      <c r="D127" s="13" t="s">
        <v>46</v>
      </c>
      <c r="E127" s="13" t="s">
        <v>53</v>
      </c>
      <c r="F127" s="14">
        <v>58.0</v>
      </c>
      <c r="G127" s="15">
        <v>34714.0</v>
      </c>
      <c r="H127" s="15">
        <v>43998.0</v>
      </c>
      <c r="I127" s="10">
        <v>7789.0</v>
      </c>
      <c r="J127" s="13" t="str">
        <f t="shared" si="1"/>
        <v>Pass</v>
      </c>
      <c r="K127" s="13" t="str">
        <f t="array" ref="K127">IFS(F127&gt;=90,"Excellent",F127&gt;=70,"Good",F127&gt;=50,"Average",F127&lt;50,"Poor")</f>
        <v>Average</v>
      </c>
      <c r="L127" s="13" t="str">
        <f t="shared" si="2"/>
        <v>Sal</v>
      </c>
      <c r="M127" s="13" t="str">
        <f t="shared" si="3"/>
        <v>Eric Lopez</v>
      </c>
      <c r="N127" s="13">
        <f t="shared" si="4"/>
        <v>6</v>
      </c>
      <c r="O127" s="13">
        <f t="shared" si="5"/>
        <v>30</v>
      </c>
      <c r="P127" s="13" t="str">
        <f t="shared" si="6"/>
        <v>June</v>
      </c>
      <c r="Q127" s="13">
        <f t="shared" si="7"/>
        <v>5</v>
      </c>
      <c r="R127" s="13" t="str">
        <f t="shared" si="8"/>
        <v>Eligible</v>
      </c>
      <c r="S127" s="13" t="str">
        <f t="shared" si="9"/>
        <v>True</v>
      </c>
    </row>
    <row r="128" ht="15.75" hidden="1" customHeight="1">
      <c r="A128" s="13" t="s">
        <v>296</v>
      </c>
      <c r="B128" s="13" t="s">
        <v>297</v>
      </c>
      <c r="C128" s="13" t="s">
        <v>298</v>
      </c>
      <c r="D128" s="13" t="s">
        <v>46</v>
      </c>
      <c r="E128" s="13" t="s">
        <v>53</v>
      </c>
      <c r="F128" s="14">
        <v>82.0</v>
      </c>
      <c r="G128" s="15">
        <v>37419.0</v>
      </c>
      <c r="H128" s="15">
        <v>44019.0</v>
      </c>
      <c r="I128" s="10">
        <v>5806.0</v>
      </c>
      <c r="J128" s="13" t="str">
        <f t="shared" si="1"/>
        <v>Pass</v>
      </c>
      <c r="K128" s="13" t="str">
        <f t="array" ref="K128">IFS(F128&gt;=90,"Excellent",F128&gt;=70,"Good",F128&gt;=50,"Average",F128&lt;50,"Poor")</f>
        <v>Good</v>
      </c>
      <c r="L128" s="13" t="str">
        <f t="shared" si="2"/>
        <v>Sal</v>
      </c>
      <c r="M128" s="13" t="str">
        <f t="shared" si="3"/>
        <v>Cory Marquez</v>
      </c>
      <c r="N128" s="13">
        <f t="shared" si="4"/>
        <v>6</v>
      </c>
      <c r="O128" s="13">
        <f t="shared" si="5"/>
        <v>23</v>
      </c>
      <c r="P128" s="13" t="str">
        <f t="shared" si="6"/>
        <v>July</v>
      </c>
      <c r="Q128" s="13">
        <f t="shared" si="7"/>
        <v>5</v>
      </c>
      <c r="R128" s="13" t="str">
        <f t="shared" si="8"/>
        <v>Not Eligible</v>
      </c>
      <c r="S128" s="13" t="str">
        <f t="shared" si="9"/>
        <v>True</v>
      </c>
    </row>
    <row r="129" ht="15.75" hidden="1" customHeight="1">
      <c r="A129" s="13" t="s">
        <v>367</v>
      </c>
      <c r="B129" s="13" t="s">
        <v>368</v>
      </c>
      <c r="C129" s="13" t="s">
        <v>369</v>
      </c>
      <c r="D129" s="13" t="s">
        <v>34</v>
      </c>
      <c r="E129" s="13" t="s">
        <v>71</v>
      </c>
      <c r="F129" s="14">
        <v>44.0</v>
      </c>
      <c r="G129" s="15">
        <v>37370.0</v>
      </c>
      <c r="H129" s="15">
        <v>44048.0</v>
      </c>
      <c r="I129" s="10">
        <v>8823.0</v>
      </c>
      <c r="J129" s="13" t="str">
        <f t="shared" si="1"/>
        <v>Fail</v>
      </c>
      <c r="K129" s="13" t="str">
        <f t="array" ref="K129">IFS(F129&gt;=90,"Excellent",F129&gt;=70,"Good",F129&gt;=50,"Average",F129&lt;50,"Poor")</f>
        <v>Poor</v>
      </c>
      <c r="L129" s="13" t="str">
        <f t="shared" si="2"/>
        <v>HR</v>
      </c>
      <c r="M129" s="13" t="str">
        <f t="shared" si="3"/>
        <v>Katelyn Herring</v>
      </c>
      <c r="N129" s="13">
        <f t="shared" si="4"/>
        <v>6</v>
      </c>
      <c r="O129" s="13">
        <f t="shared" si="5"/>
        <v>23</v>
      </c>
      <c r="P129" s="13" t="str">
        <f t="shared" si="6"/>
        <v>August</v>
      </c>
      <c r="Q129" s="13">
        <f t="shared" si="7"/>
        <v>5</v>
      </c>
      <c r="R129" s="13" t="str">
        <f t="shared" si="8"/>
        <v>Not Eligible</v>
      </c>
      <c r="S129" s="13" t="str">
        <f t="shared" si="9"/>
        <v>True</v>
      </c>
    </row>
    <row r="130" ht="15.75" hidden="1" customHeight="1">
      <c r="A130" s="13" t="s">
        <v>95</v>
      </c>
      <c r="B130" s="13" t="s">
        <v>96</v>
      </c>
      <c r="C130" s="13" t="s">
        <v>97</v>
      </c>
      <c r="D130" s="13" t="s">
        <v>29</v>
      </c>
      <c r="E130" s="13" t="s">
        <v>39</v>
      </c>
      <c r="F130" s="14">
        <v>38.0</v>
      </c>
      <c r="G130" s="15">
        <v>36929.0</v>
      </c>
      <c r="H130" s="15">
        <v>44056.0</v>
      </c>
      <c r="I130" s="10">
        <v>8847.0</v>
      </c>
      <c r="J130" s="13" t="str">
        <f t="shared" si="1"/>
        <v>Fail</v>
      </c>
      <c r="K130" s="13" t="str">
        <f t="array" ref="K130">IFS(F130&gt;=90,"Excellent",F130&gt;=70,"Good",F130&gt;=50,"Average",F130&lt;50,"Poor")</f>
        <v>Poor</v>
      </c>
      <c r="L130" s="13" t="str">
        <f t="shared" si="2"/>
        <v>Fin</v>
      </c>
      <c r="M130" s="13" t="str">
        <f t="shared" si="3"/>
        <v>Leah Whitehead</v>
      </c>
      <c r="N130" s="13">
        <f t="shared" si="4"/>
        <v>6</v>
      </c>
      <c r="O130" s="13">
        <f t="shared" si="5"/>
        <v>24</v>
      </c>
      <c r="P130" s="13" t="str">
        <f t="shared" si="6"/>
        <v>August</v>
      </c>
      <c r="Q130" s="13">
        <f t="shared" si="7"/>
        <v>5</v>
      </c>
      <c r="R130" s="13" t="str">
        <f t="shared" si="8"/>
        <v>Not Eligible</v>
      </c>
      <c r="S130" s="13" t="str">
        <f t="shared" si="9"/>
        <v>False</v>
      </c>
    </row>
    <row r="131" ht="15.75" hidden="1" customHeight="1">
      <c r="A131" s="13" t="s">
        <v>293</v>
      </c>
      <c r="B131" s="13" t="s">
        <v>294</v>
      </c>
      <c r="C131" s="13" t="s">
        <v>295</v>
      </c>
      <c r="D131" s="13" t="s">
        <v>24</v>
      </c>
      <c r="E131" s="13" t="s">
        <v>89</v>
      </c>
      <c r="F131" s="14">
        <v>89.0</v>
      </c>
      <c r="G131" s="15">
        <v>38171.0</v>
      </c>
      <c r="H131" s="15">
        <v>44083.0</v>
      </c>
      <c r="I131" s="10">
        <v>6985.0</v>
      </c>
      <c r="J131" s="13" t="str">
        <f t="shared" si="1"/>
        <v>Pass</v>
      </c>
      <c r="K131" s="13" t="str">
        <f t="array" ref="K131">IFS(F131&gt;=90,"Excellent",F131&gt;=70,"Good",F131&gt;=50,"Average",F131&lt;50,"Poor")</f>
        <v>Good</v>
      </c>
      <c r="L131" s="13" t="str">
        <f t="shared" si="2"/>
        <v>IT</v>
      </c>
      <c r="M131" s="13" t="str">
        <f t="shared" si="3"/>
        <v>Morgan Wilcox</v>
      </c>
      <c r="N131" s="13">
        <f t="shared" si="4"/>
        <v>6</v>
      </c>
      <c r="O131" s="13">
        <f t="shared" si="5"/>
        <v>21</v>
      </c>
      <c r="P131" s="13" t="str">
        <f t="shared" si="6"/>
        <v>September</v>
      </c>
      <c r="Q131" s="13">
        <f t="shared" si="7"/>
        <v>5</v>
      </c>
      <c r="R131" s="13" t="str">
        <f t="shared" si="8"/>
        <v>Not Eligible</v>
      </c>
      <c r="S131" s="13" t="str">
        <f t="shared" si="9"/>
        <v>False</v>
      </c>
    </row>
    <row r="132" ht="15.75" hidden="1" customHeight="1">
      <c r="A132" s="13" t="s">
        <v>126</v>
      </c>
      <c r="B132" s="13" t="s">
        <v>127</v>
      </c>
      <c r="C132" s="13" t="s">
        <v>128</v>
      </c>
      <c r="D132" s="13" t="s">
        <v>75</v>
      </c>
      <c r="E132" s="13" t="s">
        <v>76</v>
      </c>
      <c r="F132" s="14">
        <v>68.0</v>
      </c>
      <c r="G132" s="15">
        <v>35600.0</v>
      </c>
      <c r="H132" s="15">
        <v>44084.0</v>
      </c>
      <c r="I132" s="10">
        <v>5135.0</v>
      </c>
      <c r="J132" s="13" t="str">
        <f t="shared" si="1"/>
        <v>Pass</v>
      </c>
      <c r="K132" s="13" t="str">
        <f t="array" ref="K132">IFS(F132&gt;=90,"Excellent",F132&gt;=70,"Good",F132&gt;=50,"Average",F132&lt;50,"Poor")</f>
        <v>Average</v>
      </c>
      <c r="L132" s="13" t="str">
        <f t="shared" si="2"/>
        <v>Mar</v>
      </c>
      <c r="M132" s="13" t="str">
        <f t="shared" si="3"/>
        <v>Vanessa Ford</v>
      </c>
      <c r="N132" s="13">
        <f t="shared" si="4"/>
        <v>6</v>
      </c>
      <c r="O132" s="13">
        <f t="shared" si="5"/>
        <v>28</v>
      </c>
      <c r="P132" s="13" t="str">
        <f t="shared" si="6"/>
        <v>September</v>
      </c>
      <c r="Q132" s="13">
        <f t="shared" si="7"/>
        <v>5</v>
      </c>
      <c r="R132" s="13" t="str">
        <f t="shared" si="8"/>
        <v>Eligible</v>
      </c>
      <c r="S132" s="13" t="str">
        <f t="shared" si="9"/>
        <v>False</v>
      </c>
    </row>
    <row r="133" ht="15.75" customHeight="1">
      <c r="A133" s="4" t="s">
        <v>409</v>
      </c>
      <c r="B133" s="4" t="s">
        <v>410</v>
      </c>
      <c r="C133" s="4" t="s">
        <v>411</v>
      </c>
      <c r="D133" s="4" t="s">
        <v>75</v>
      </c>
      <c r="E133" s="4" t="s">
        <v>76</v>
      </c>
      <c r="F133" s="5">
        <v>85.0</v>
      </c>
      <c r="G133" s="6">
        <v>33921.0</v>
      </c>
      <c r="H133" s="16">
        <v>44094.0</v>
      </c>
      <c r="I133" s="17">
        <v>6135.0</v>
      </c>
      <c r="J133" s="4" t="str">
        <f t="shared" si="1"/>
        <v>Pass</v>
      </c>
      <c r="K133" s="4" t="str">
        <f t="array" ref="K133">IFS(F133&gt;=90,"Excellent",F133&gt;=70,"Good",F133&gt;=50,"Average",F133&lt;50,"Poor")</f>
        <v>Good</v>
      </c>
      <c r="L133" s="4" t="str">
        <f t="shared" si="2"/>
        <v>Mar</v>
      </c>
      <c r="M133" s="4" t="str">
        <f t="shared" si="3"/>
        <v>Alison Gonzalez</v>
      </c>
      <c r="N133" s="4">
        <f t="shared" si="4"/>
        <v>6</v>
      </c>
      <c r="O133" s="4">
        <f t="shared" si="5"/>
        <v>32</v>
      </c>
      <c r="P133" s="4" t="str">
        <f t="shared" si="6"/>
        <v>September</v>
      </c>
      <c r="Q133" s="4">
        <f t="shared" si="7"/>
        <v>5</v>
      </c>
      <c r="R133" s="4" t="str">
        <f t="shared" si="8"/>
        <v>Eligible</v>
      </c>
      <c r="S133" s="4" t="str">
        <f t="shared" si="9"/>
        <v>False</v>
      </c>
    </row>
    <row r="134" ht="15.75" hidden="1" customHeight="1">
      <c r="A134" s="13" t="s">
        <v>288</v>
      </c>
      <c r="B134" s="13" t="s">
        <v>289</v>
      </c>
      <c r="C134" s="13" t="s">
        <v>189</v>
      </c>
      <c r="D134" s="13" t="s">
        <v>29</v>
      </c>
      <c r="E134" s="13" t="s">
        <v>30</v>
      </c>
      <c r="F134" s="14">
        <v>92.0</v>
      </c>
      <c r="G134" s="15">
        <v>38022.0</v>
      </c>
      <c r="H134" s="15">
        <v>44127.0</v>
      </c>
      <c r="I134" s="10">
        <v>8008.0</v>
      </c>
      <c r="J134" s="13" t="str">
        <f t="shared" si="1"/>
        <v>Pass</v>
      </c>
      <c r="K134" s="13" t="str">
        <f t="array" ref="K134">IFS(F134&gt;=90,"Excellent",F134&gt;=70,"Good",F134&gt;=50,"Average",F134&lt;50,"Poor")</f>
        <v>Excellent</v>
      </c>
      <c r="L134" s="13" t="str">
        <f t="shared" si="2"/>
        <v>Fin</v>
      </c>
      <c r="M134" s="13" t="str">
        <f t="shared" si="3"/>
        <v>Troy Morris</v>
      </c>
      <c r="N134" s="13">
        <f t="shared" si="4"/>
        <v>6</v>
      </c>
      <c r="O134" s="13">
        <f t="shared" si="5"/>
        <v>21</v>
      </c>
      <c r="P134" s="13" t="str">
        <f t="shared" si="6"/>
        <v>October</v>
      </c>
      <c r="Q134" s="13">
        <f t="shared" si="7"/>
        <v>5</v>
      </c>
      <c r="R134" s="13" t="str">
        <f t="shared" si="8"/>
        <v>Not Eligible</v>
      </c>
      <c r="S134" s="13" t="str">
        <f t="shared" si="9"/>
        <v>False</v>
      </c>
    </row>
    <row r="135" ht="15.75" hidden="1" customHeight="1">
      <c r="A135" s="13" t="s">
        <v>378</v>
      </c>
      <c r="B135" s="13" t="s">
        <v>121</v>
      </c>
      <c r="C135" s="13" t="s">
        <v>97</v>
      </c>
      <c r="D135" s="13" t="s">
        <v>34</v>
      </c>
      <c r="E135" s="13" t="s">
        <v>35</v>
      </c>
      <c r="F135" s="14">
        <v>80.0</v>
      </c>
      <c r="G135" s="15">
        <v>34830.0</v>
      </c>
      <c r="H135" s="15">
        <v>44144.0</v>
      </c>
      <c r="I135" s="10">
        <v>9028.0</v>
      </c>
      <c r="J135" s="13" t="str">
        <f t="shared" si="1"/>
        <v>Pass</v>
      </c>
      <c r="K135" s="13" t="str">
        <f t="array" ref="K135">IFS(F135&gt;=90,"Excellent",F135&gt;=70,"Good",F135&gt;=50,"Average",F135&lt;50,"Poor")</f>
        <v>Good</v>
      </c>
      <c r="L135" s="13" t="str">
        <f t="shared" si="2"/>
        <v>HR</v>
      </c>
      <c r="M135" s="13" t="str">
        <f t="shared" si="3"/>
        <v>Paul Whitehead</v>
      </c>
      <c r="N135" s="13">
        <f t="shared" si="4"/>
        <v>6</v>
      </c>
      <c r="O135" s="13">
        <f t="shared" si="5"/>
        <v>30</v>
      </c>
      <c r="P135" s="13" t="str">
        <f t="shared" si="6"/>
        <v>November</v>
      </c>
      <c r="Q135" s="13">
        <f t="shared" si="7"/>
        <v>4</v>
      </c>
      <c r="R135" s="13" t="str">
        <f t="shared" si="8"/>
        <v>Eligible</v>
      </c>
      <c r="S135" s="13" t="str">
        <f t="shared" si="9"/>
        <v>True</v>
      </c>
    </row>
    <row r="136" ht="15.75" hidden="1" customHeight="1">
      <c r="A136" s="13" t="s">
        <v>134</v>
      </c>
      <c r="B136" s="13" t="s">
        <v>135</v>
      </c>
      <c r="C136" s="13" t="s">
        <v>136</v>
      </c>
      <c r="D136" s="13" t="s">
        <v>46</v>
      </c>
      <c r="E136" s="13" t="s">
        <v>47</v>
      </c>
      <c r="F136" s="14">
        <v>71.0</v>
      </c>
      <c r="G136" s="15">
        <v>34434.0</v>
      </c>
      <c r="H136" s="15">
        <v>44153.0</v>
      </c>
      <c r="I136" s="10">
        <v>8468.0</v>
      </c>
      <c r="J136" s="13" t="str">
        <f t="shared" si="1"/>
        <v>Pass</v>
      </c>
      <c r="K136" s="13" t="str">
        <f t="array" ref="K136">IFS(F136&gt;=90,"Excellent",F136&gt;=70,"Good",F136&gt;=50,"Average",F136&lt;50,"Poor")</f>
        <v>Good</v>
      </c>
      <c r="L136" s="13" t="str">
        <f t="shared" si="2"/>
        <v>Sal</v>
      </c>
      <c r="M136" s="13" t="str">
        <f t="shared" si="3"/>
        <v>Amber Johnson</v>
      </c>
      <c r="N136" s="13">
        <f t="shared" si="4"/>
        <v>6</v>
      </c>
      <c r="O136" s="13">
        <f t="shared" si="5"/>
        <v>31</v>
      </c>
      <c r="P136" s="13" t="str">
        <f t="shared" si="6"/>
        <v>November</v>
      </c>
      <c r="Q136" s="13">
        <f t="shared" si="7"/>
        <v>4</v>
      </c>
      <c r="R136" s="13" t="str">
        <f t="shared" si="8"/>
        <v>Eligible</v>
      </c>
      <c r="S136" s="13" t="str">
        <f t="shared" si="9"/>
        <v>True</v>
      </c>
    </row>
    <row r="137" ht="15.75" hidden="1" customHeight="1">
      <c r="A137" s="13" t="s">
        <v>514</v>
      </c>
      <c r="B137" s="13" t="s">
        <v>515</v>
      </c>
      <c r="C137" s="13" t="s">
        <v>309</v>
      </c>
      <c r="D137" s="13" t="s">
        <v>46</v>
      </c>
      <c r="E137" s="13" t="s">
        <v>53</v>
      </c>
      <c r="F137" s="14">
        <v>95.0</v>
      </c>
      <c r="G137" s="15">
        <v>32760.0</v>
      </c>
      <c r="H137" s="15">
        <v>44171.0</v>
      </c>
      <c r="I137" s="10">
        <v>8555.0</v>
      </c>
      <c r="J137" s="13" t="str">
        <f t="shared" si="1"/>
        <v>Pass</v>
      </c>
      <c r="K137" s="13" t="str">
        <f t="array" ref="K137">IFS(F137&gt;=90,"Excellent",F137&gt;=70,"Good",F137&gt;=50,"Average",F137&lt;50,"Poor")</f>
        <v>Excellent</v>
      </c>
      <c r="L137" s="13" t="str">
        <f t="shared" si="2"/>
        <v>Sal</v>
      </c>
      <c r="M137" s="13" t="str">
        <f t="shared" si="3"/>
        <v>Maria Green</v>
      </c>
      <c r="N137" s="13">
        <f t="shared" si="4"/>
        <v>6</v>
      </c>
      <c r="O137" s="13">
        <f t="shared" si="5"/>
        <v>36</v>
      </c>
      <c r="P137" s="13" t="str">
        <f t="shared" si="6"/>
        <v>December</v>
      </c>
      <c r="Q137" s="13">
        <f t="shared" si="7"/>
        <v>4</v>
      </c>
      <c r="R137" s="13" t="str">
        <f t="shared" si="8"/>
        <v>Eligible</v>
      </c>
      <c r="S137" s="13" t="str">
        <f t="shared" si="9"/>
        <v>True</v>
      </c>
    </row>
    <row r="138" ht="15.75" hidden="1" customHeight="1">
      <c r="A138" s="13" t="s">
        <v>98</v>
      </c>
      <c r="B138" s="13" t="s">
        <v>27</v>
      </c>
      <c r="C138" s="13" t="s">
        <v>99</v>
      </c>
      <c r="D138" s="13" t="s">
        <v>46</v>
      </c>
      <c r="E138" s="13" t="s">
        <v>53</v>
      </c>
      <c r="F138" s="14">
        <v>58.0</v>
      </c>
      <c r="G138" s="15">
        <v>37369.0</v>
      </c>
      <c r="H138" s="15">
        <v>44266.0</v>
      </c>
      <c r="I138" s="10">
        <v>7388.0</v>
      </c>
      <c r="J138" s="13" t="str">
        <f t="shared" si="1"/>
        <v>Pass</v>
      </c>
      <c r="K138" s="13" t="str">
        <f t="array" ref="K138">IFS(F138&gt;=90,"Excellent",F138&gt;=70,"Good",F138&gt;=50,"Average",F138&lt;50,"Poor")</f>
        <v>Average</v>
      </c>
      <c r="L138" s="13" t="str">
        <f t="shared" si="2"/>
        <v>Sal</v>
      </c>
      <c r="M138" s="13" t="str">
        <f t="shared" si="3"/>
        <v>Adam Marshall</v>
      </c>
      <c r="N138" s="13">
        <f t="shared" si="4"/>
        <v>6</v>
      </c>
      <c r="O138" s="13">
        <f t="shared" si="5"/>
        <v>23</v>
      </c>
      <c r="P138" s="13" t="str">
        <f t="shared" si="6"/>
        <v>March</v>
      </c>
      <c r="Q138" s="13">
        <f t="shared" si="7"/>
        <v>4</v>
      </c>
      <c r="R138" s="13" t="str">
        <f t="shared" si="8"/>
        <v>Not Eligible</v>
      </c>
      <c r="S138" s="13" t="str">
        <f t="shared" si="9"/>
        <v>True</v>
      </c>
    </row>
    <row r="139" ht="15.75" hidden="1" customHeight="1">
      <c r="A139" s="13" t="s">
        <v>521</v>
      </c>
      <c r="B139" s="13" t="s">
        <v>144</v>
      </c>
      <c r="C139" s="13" t="s">
        <v>226</v>
      </c>
      <c r="D139" s="13" t="s">
        <v>75</v>
      </c>
      <c r="E139" s="13" t="s">
        <v>76</v>
      </c>
      <c r="F139" s="14">
        <v>45.0</v>
      </c>
      <c r="G139" s="15">
        <v>32876.0</v>
      </c>
      <c r="H139" s="15">
        <v>44268.0</v>
      </c>
      <c r="I139" s="10">
        <v>6821.0</v>
      </c>
      <c r="J139" s="13" t="str">
        <f t="shared" si="1"/>
        <v>Fail</v>
      </c>
      <c r="K139" s="13" t="str">
        <f t="array" ref="K139">IFS(F139&gt;=90,"Excellent",F139&gt;=70,"Good",F139&gt;=50,"Average",F139&lt;50,"Poor")</f>
        <v>Poor</v>
      </c>
      <c r="L139" s="13" t="str">
        <f t="shared" si="2"/>
        <v>Mar</v>
      </c>
      <c r="M139" s="13" t="str">
        <f t="shared" si="3"/>
        <v>Lisa Smith</v>
      </c>
      <c r="N139" s="13">
        <f t="shared" si="4"/>
        <v>6</v>
      </c>
      <c r="O139" s="13">
        <f t="shared" si="5"/>
        <v>35</v>
      </c>
      <c r="P139" s="13" t="str">
        <f t="shared" si="6"/>
        <v>March</v>
      </c>
      <c r="Q139" s="13">
        <f t="shared" si="7"/>
        <v>4</v>
      </c>
      <c r="R139" s="13" t="str">
        <f t="shared" si="8"/>
        <v>Eligible</v>
      </c>
      <c r="S139" s="13" t="str">
        <f t="shared" si="9"/>
        <v>False</v>
      </c>
    </row>
    <row r="140" ht="15.75" hidden="1" customHeight="1">
      <c r="A140" s="13" t="s">
        <v>477</v>
      </c>
      <c r="B140" s="13" t="s">
        <v>478</v>
      </c>
      <c r="C140" s="13" t="s">
        <v>479</v>
      </c>
      <c r="D140" s="13" t="s">
        <v>34</v>
      </c>
      <c r="E140" s="13" t="s">
        <v>71</v>
      </c>
      <c r="F140" s="14">
        <v>68.0</v>
      </c>
      <c r="G140" s="15">
        <v>34102.0</v>
      </c>
      <c r="H140" s="15">
        <v>44303.0</v>
      </c>
      <c r="I140" s="10">
        <v>7267.0</v>
      </c>
      <c r="J140" s="13" t="str">
        <f t="shared" si="1"/>
        <v>Pass</v>
      </c>
      <c r="K140" s="13" t="str">
        <f t="array" ref="K140">IFS(F140&gt;=90,"Excellent",F140&gt;=70,"Good",F140&gt;=50,"Average",F140&lt;50,"Poor")</f>
        <v>Average</v>
      </c>
      <c r="L140" s="13" t="str">
        <f t="shared" si="2"/>
        <v>HR</v>
      </c>
      <c r="M140" s="13" t="str">
        <f t="shared" si="3"/>
        <v>Donna Hall</v>
      </c>
      <c r="N140" s="13">
        <f t="shared" si="4"/>
        <v>6</v>
      </c>
      <c r="O140" s="13">
        <f t="shared" si="5"/>
        <v>32</v>
      </c>
      <c r="P140" s="13" t="str">
        <f t="shared" si="6"/>
        <v>April</v>
      </c>
      <c r="Q140" s="13">
        <f t="shared" si="7"/>
        <v>4</v>
      </c>
      <c r="R140" s="13" t="str">
        <f t="shared" si="8"/>
        <v>Eligible</v>
      </c>
      <c r="S140" s="13" t="str">
        <f t="shared" si="9"/>
        <v>True</v>
      </c>
    </row>
    <row r="141" ht="15.75" hidden="1" customHeight="1">
      <c r="A141" s="13" t="s">
        <v>162</v>
      </c>
      <c r="B141" s="13" t="s">
        <v>163</v>
      </c>
      <c r="C141" s="13" t="s">
        <v>164</v>
      </c>
      <c r="D141" s="13" t="s">
        <v>29</v>
      </c>
      <c r="E141" s="13" t="s">
        <v>30</v>
      </c>
      <c r="F141" s="14">
        <v>62.0</v>
      </c>
      <c r="G141" s="15">
        <v>31610.0</v>
      </c>
      <c r="H141" s="15">
        <v>44313.0</v>
      </c>
      <c r="I141" s="10">
        <v>8638.0</v>
      </c>
      <c r="J141" s="13" t="str">
        <f t="shared" si="1"/>
        <v>Pass</v>
      </c>
      <c r="K141" s="13" t="str">
        <f t="array" ref="K141">IFS(F141&gt;=90,"Excellent",F141&gt;=70,"Good",F141&gt;=50,"Average",F141&lt;50,"Poor")</f>
        <v>Average</v>
      </c>
      <c r="L141" s="13" t="str">
        <f t="shared" si="2"/>
        <v>Fin</v>
      </c>
      <c r="M141" s="13" t="str">
        <f t="shared" si="3"/>
        <v>Christopher Warren</v>
      </c>
      <c r="N141" s="13">
        <f t="shared" si="4"/>
        <v>6</v>
      </c>
      <c r="O141" s="13">
        <f t="shared" si="5"/>
        <v>39</v>
      </c>
      <c r="P141" s="13" t="str">
        <f t="shared" si="6"/>
        <v>April</v>
      </c>
      <c r="Q141" s="13">
        <f t="shared" si="7"/>
        <v>4</v>
      </c>
      <c r="R141" s="13" t="str">
        <f t="shared" si="8"/>
        <v>Eligible</v>
      </c>
      <c r="S141" s="13" t="str">
        <f t="shared" si="9"/>
        <v>False</v>
      </c>
    </row>
    <row r="142" ht="15.75" hidden="1" customHeight="1">
      <c r="A142" s="13" t="s">
        <v>123</v>
      </c>
      <c r="B142" s="13" t="s">
        <v>124</v>
      </c>
      <c r="C142" s="13" t="s">
        <v>125</v>
      </c>
      <c r="D142" s="13" t="s">
        <v>75</v>
      </c>
      <c r="E142" s="13" t="s">
        <v>76</v>
      </c>
      <c r="F142" s="14">
        <v>45.0</v>
      </c>
      <c r="G142" s="15">
        <v>32611.0</v>
      </c>
      <c r="H142" s="15">
        <v>44345.0</v>
      </c>
      <c r="I142" s="10">
        <v>6867.0</v>
      </c>
      <c r="J142" s="13" t="str">
        <f t="shared" si="1"/>
        <v>Fail</v>
      </c>
      <c r="K142" s="13" t="str">
        <f t="array" ref="K142">IFS(F142&gt;=90,"Excellent",F142&gt;=70,"Good",F142&gt;=50,"Average",F142&lt;50,"Poor")</f>
        <v>Poor</v>
      </c>
      <c r="L142" s="13" t="str">
        <f t="shared" si="2"/>
        <v>Mar</v>
      </c>
      <c r="M142" s="13" t="str">
        <f t="shared" si="3"/>
        <v>Charles Myers</v>
      </c>
      <c r="N142" s="13">
        <f t="shared" si="4"/>
        <v>6</v>
      </c>
      <c r="O142" s="13">
        <f t="shared" si="5"/>
        <v>36</v>
      </c>
      <c r="P142" s="13" t="str">
        <f t="shared" si="6"/>
        <v>May</v>
      </c>
      <c r="Q142" s="13">
        <f t="shared" si="7"/>
        <v>4</v>
      </c>
      <c r="R142" s="13" t="str">
        <f t="shared" si="8"/>
        <v>Eligible</v>
      </c>
      <c r="S142" s="13" t="str">
        <f t="shared" si="9"/>
        <v>False</v>
      </c>
    </row>
    <row r="143" ht="15.75" hidden="1" customHeight="1">
      <c r="A143" s="13" t="s">
        <v>503</v>
      </c>
      <c r="B143" s="13" t="s">
        <v>504</v>
      </c>
      <c r="C143" s="13" t="s">
        <v>505</v>
      </c>
      <c r="D143" s="13" t="s">
        <v>34</v>
      </c>
      <c r="E143" s="13" t="s">
        <v>35</v>
      </c>
      <c r="F143" s="14">
        <v>97.0</v>
      </c>
      <c r="G143" s="15">
        <v>36176.0</v>
      </c>
      <c r="H143" s="15">
        <v>44392.0</v>
      </c>
      <c r="I143" s="10">
        <v>9080.0</v>
      </c>
      <c r="J143" s="13" t="str">
        <f t="shared" si="1"/>
        <v>Pass</v>
      </c>
      <c r="K143" s="13" t="str">
        <f t="array" ref="K143">IFS(F143&gt;=90,"Excellent",F143&gt;=70,"Good",F143&gt;=50,"Average",F143&lt;50,"Poor")</f>
        <v>Excellent</v>
      </c>
      <c r="L143" s="13" t="str">
        <f t="shared" si="2"/>
        <v>HR</v>
      </c>
      <c r="M143" s="13" t="str">
        <f t="shared" si="3"/>
        <v>Thomas Butler</v>
      </c>
      <c r="N143" s="13">
        <f t="shared" si="4"/>
        <v>6</v>
      </c>
      <c r="O143" s="13">
        <f t="shared" si="5"/>
        <v>26</v>
      </c>
      <c r="P143" s="13" t="str">
        <f t="shared" si="6"/>
        <v>July</v>
      </c>
      <c r="Q143" s="13">
        <f t="shared" si="7"/>
        <v>4</v>
      </c>
      <c r="R143" s="13" t="str">
        <f t="shared" si="8"/>
        <v>Eligible</v>
      </c>
      <c r="S143" s="13" t="str">
        <f t="shared" si="9"/>
        <v>True</v>
      </c>
    </row>
    <row r="144" ht="15.75" hidden="1" customHeight="1">
      <c r="A144" s="13" t="s">
        <v>283</v>
      </c>
      <c r="B144" s="13" t="s">
        <v>284</v>
      </c>
      <c r="C144" s="13" t="s">
        <v>285</v>
      </c>
      <c r="D144" s="13" t="s">
        <v>46</v>
      </c>
      <c r="E144" s="13" t="s">
        <v>47</v>
      </c>
      <c r="F144" s="14">
        <v>51.0</v>
      </c>
      <c r="G144" s="15">
        <v>32949.0</v>
      </c>
      <c r="H144" s="15">
        <v>44397.0</v>
      </c>
      <c r="I144" s="10">
        <v>8019.0</v>
      </c>
      <c r="J144" s="13" t="str">
        <f t="shared" si="1"/>
        <v>Pass</v>
      </c>
      <c r="K144" s="13" t="str">
        <f t="array" ref="K144">IFS(F144&gt;=90,"Excellent",F144&gt;=70,"Good",F144&gt;=50,"Average",F144&lt;50,"Poor")</f>
        <v>Average</v>
      </c>
      <c r="L144" s="13" t="str">
        <f t="shared" si="2"/>
        <v>Sal</v>
      </c>
      <c r="M144" s="13" t="str">
        <f t="shared" si="3"/>
        <v>Rodney Gonzales</v>
      </c>
      <c r="N144" s="13">
        <f t="shared" si="4"/>
        <v>6</v>
      </c>
      <c r="O144" s="13">
        <f t="shared" si="5"/>
        <v>35</v>
      </c>
      <c r="P144" s="13" t="str">
        <f t="shared" si="6"/>
        <v>July</v>
      </c>
      <c r="Q144" s="13">
        <f t="shared" si="7"/>
        <v>4</v>
      </c>
      <c r="R144" s="13" t="str">
        <f t="shared" si="8"/>
        <v>Eligible</v>
      </c>
      <c r="S144" s="13" t="str">
        <f t="shared" si="9"/>
        <v>True</v>
      </c>
    </row>
    <row r="145" ht="15.75" hidden="1" customHeight="1">
      <c r="A145" s="13" t="s">
        <v>251</v>
      </c>
      <c r="B145" s="13" t="s">
        <v>252</v>
      </c>
      <c r="C145" s="13" t="s">
        <v>253</v>
      </c>
      <c r="D145" s="13" t="s">
        <v>46</v>
      </c>
      <c r="E145" s="13" t="s">
        <v>217</v>
      </c>
      <c r="F145" s="14">
        <v>67.0</v>
      </c>
      <c r="G145" s="15">
        <v>35477.0</v>
      </c>
      <c r="H145" s="15">
        <v>44435.0</v>
      </c>
      <c r="I145" s="10">
        <v>9107.0</v>
      </c>
      <c r="J145" s="13" t="str">
        <f t="shared" si="1"/>
        <v>Pass</v>
      </c>
      <c r="K145" s="13" t="str">
        <f t="array" ref="K145">IFS(F145&gt;=90,"Excellent",F145&gt;=70,"Good",F145&gt;=50,"Average",F145&lt;50,"Poor")</f>
        <v>Average</v>
      </c>
      <c r="L145" s="13" t="str">
        <f t="shared" si="2"/>
        <v>Sal</v>
      </c>
      <c r="M145" s="13" t="str">
        <f t="shared" si="3"/>
        <v>Jesse Hartman</v>
      </c>
      <c r="N145" s="13">
        <f t="shared" si="4"/>
        <v>6</v>
      </c>
      <c r="O145" s="13">
        <f t="shared" si="5"/>
        <v>28</v>
      </c>
      <c r="P145" s="13" t="str">
        <f t="shared" si="6"/>
        <v>August</v>
      </c>
      <c r="Q145" s="13">
        <f t="shared" si="7"/>
        <v>4</v>
      </c>
      <c r="R145" s="13" t="str">
        <f t="shared" si="8"/>
        <v>Eligible</v>
      </c>
      <c r="S145" s="13" t="str">
        <f t="shared" si="9"/>
        <v>True</v>
      </c>
    </row>
    <row r="146" ht="15.75" hidden="1" customHeight="1">
      <c r="A146" s="13" t="s">
        <v>370</v>
      </c>
      <c r="B146" s="13" t="s">
        <v>197</v>
      </c>
      <c r="C146" s="13" t="s">
        <v>371</v>
      </c>
      <c r="D146" s="13" t="s">
        <v>46</v>
      </c>
      <c r="E146" s="13" t="s">
        <v>47</v>
      </c>
      <c r="F146" s="14">
        <v>53.0</v>
      </c>
      <c r="G146" s="15">
        <v>33672.0</v>
      </c>
      <c r="H146" s="15">
        <v>44440.0</v>
      </c>
      <c r="I146" s="10">
        <v>5342.0</v>
      </c>
      <c r="J146" s="13" t="str">
        <f t="shared" si="1"/>
        <v>Pass</v>
      </c>
      <c r="K146" s="13" t="str">
        <f t="array" ref="K146">IFS(F146&gt;=90,"Excellent",F146&gt;=70,"Good",F146&gt;=50,"Average",F146&lt;50,"Poor")</f>
        <v>Average</v>
      </c>
      <c r="L146" s="13" t="str">
        <f t="shared" si="2"/>
        <v>Sal</v>
      </c>
      <c r="M146" s="13" t="str">
        <f t="shared" si="3"/>
        <v>Anna Stevens</v>
      </c>
      <c r="N146" s="13">
        <f t="shared" si="4"/>
        <v>6</v>
      </c>
      <c r="O146" s="13">
        <f t="shared" si="5"/>
        <v>33</v>
      </c>
      <c r="P146" s="13" t="str">
        <f t="shared" si="6"/>
        <v>September</v>
      </c>
      <c r="Q146" s="13">
        <f t="shared" si="7"/>
        <v>4</v>
      </c>
      <c r="R146" s="13" t="str">
        <f t="shared" si="8"/>
        <v>Eligible</v>
      </c>
      <c r="S146" s="13" t="str">
        <f t="shared" si="9"/>
        <v>True</v>
      </c>
    </row>
    <row r="147" ht="15.75" hidden="1" customHeight="1">
      <c r="A147" s="13" t="s">
        <v>40</v>
      </c>
      <c r="B147" s="13" t="s">
        <v>41</v>
      </c>
      <c r="C147" s="13" t="s">
        <v>42</v>
      </c>
      <c r="D147" s="13" t="s">
        <v>29</v>
      </c>
      <c r="E147" s="13" t="s">
        <v>30</v>
      </c>
      <c r="F147" s="14">
        <v>63.0</v>
      </c>
      <c r="G147" s="15">
        <v>37665.0</v>
      </c>
      <c r="H147" s="15">
        <v>44509.0</v>
      </c>
      <c r="I147" s="10">
        <v>7037.0</v>
      </c>
      <c r="J147" s="13" t="str">
        <f t="shared" si="1"/>
        <v>Pass</v>
      </c>
      <c r="K147" s="13" t="str">
        <f t="array" ref="K147">IFS(F147&gt;=90,"Excellent",F147&gt;=70,"Good",F147&gt;=50,"Average",F147&lt;50,"Poor")</f>
        <v>Average</v>
      </c>
      <c r="L147" s="13" t="str">
        <f t="shared" si="2"/>
        <v>Fin</v>
      </c>
      <c r="M147" s="13" t="str">
        <f t="shared" si="3"/>
        <v>Tracie Collins</v>
      </c>
      <c r="N147" s="13">
        <f t="shared" si="4"/>
        <v>6</v>
      </c>
      <c r="O147" s="13">
        <f t="shared" si="5"/>
        <v>22</v>
      </c>
      <c r="P147" s="13" t="str">
        <f t="shared" si="6"/>
        <v>November</v>
      </c>
      <c r="Q147" s="13">
        <f t="shared" si="7"/>
        <v>3</v>
      </c>
      <c r="R147" s="13" t="str">
        <f t="shared" si="8"/>
        <v>Not Eligible</v>
      </c>
      <c r="S147" s="13" t="str">
        <f t="shared" si="9"/>
        <v>False</v>
      </c>
    </row>
    <row r="148" ht="15.75" hidden="1" customHeight="1">
      <c r="A148" s="13" t="s">
        <v>51</v>
      </c>
      <c r="B148" s="13" t="s">
        <v>52</v>
      </c>
      <c r="C148" s="13" t="s">
        <v>28</v>
      </c>
      <c r="D148" s="13" t="s">
        <v>46</v>
      </c>
      <c r="E148" s="13" t="s">
        <v>53</v>
      </c>
      <c r="F148" s="14">
        <v>65.0</v>
      </c>
      <c r="G148" s="15">
        <v>36461.0</v>
      </c>
      <c r="H148" s="15">
        <v>44524.0</v>
      </c>
      <c r="I148" s="10">
        <v>4533.0</v>
      </c>
      <c r="J148" s="13" t="str">
        <f t="shared" si="1"/>
        <v>Pass</v>
      </c>
      <c r="K148" s="13" t="str">
        <f t="array" ref="K148">IFS(F148&gt;=90,"Excellent",F148&gt;=70,"Good",F148&gt;=50,"Average",F148&lt;50,"Poor")</f>
        <v>Average</v>
      </c>
      <c r="L148" s="13" t="str">
        <f t="shared" si="2"/>
        <v>Sal</v>
      </c>
      <c r="M148" s="13" t="str">
        <f t="shared" si="3"/>
        <v>Kelly Henry</v>
      </c>
      <c r="N148" s="13">
        <f t="shared" si="4"/>
        <v>6</v>
      </c>
      <c r="O148" s="13">
        <f t="shared" si="5"/>
        <v>26</v>
      </c>
      <c r="P148" s="13" t="str">
        <f t="shared" si="6"/>
        <v>November</v>
      </c>
      <c r="Q148" s="13">
        <f t="shared" si="7"/>
        <v>3</v>
      </c>
      <c r="R148" s="13" t="str">
        <f t="shared" si="8"/>
        <v>Eligible</v>
      </c>
      <c r="S148" s="13" t="str">
        <f t="shared" si="9"/>
        <v>True</v>
      </c>
    </row>
    <row r="149" ht="15.75" hidden="1" customHeight="1">
      <c r="A149" s="13" t="s">
        <v>321</v>
      </c>
      <c r="B149" s="13" t="s">
        <v>322</v>
      </c>
      <c r="C149" s="13" t="s">
        <v>323</v>
      </c>
      <c r="D149" s="13" t="s">
        <v>46</v>
      </c>
      <c r="E149" s="13" t="s">
        <v>53</v>
      </c>
      <c r="F149" s="14">
        <v>56.0</v>
      </c>
      <c r="G149" s="15">
        <v>36936.0</v>
      </c>
      <c r="H149" s="15">
        <v>44545.0</v>
      </c>
      <c r="I149" s="10">
        <v>5746.0</v>
      </c>
      <c r="J149" s="13" t="str">
        <f t="shared" si="1"/>
        <v>Pass</v>
      </c>
      <c r="K149" s="13" t="str">
        <f t="array" ref="K149">IFS(F149&gt;=90,"Excellent",F149&gt;=70,"Good",F149&gt;=50,"Average",F149&lt;50,"Poor")</f>
        <v>Average</v>
      </c>
      <c r="L149" s="13" t="str">
        <f t="shared" si="2"/>
        <v>Sal</v>
      </c>
      <c r="M149" s="13" t="str">
        <f t="shared" si="3"/>
        <v>Karina Perry</v>
      </c>
      <c r="N149" s="13">
        <f t="shared" si="4"/>
        <v>6</v>
      </c>
      <c r="O149" s="13">
        <f t="shared" si="5"/>
        <v>24</v>
      </c>
      <c r="P149" s="13" t="str">
        <f t="shared" si="6"/>
        <v>December</v>
      </c>
      <c r="Q149" s="13">
        <f t="shared" si="7"/>
        <v>3</v>
      </c>
      <c r="R149" s="13" t="str">
        <f t="shared" si="8"/>
        <v>Not Eligible</v>
      </c>
      <c r="S149" s="13" t="str">
        <f t="shared" si="9"/>
        <v>True</v>
      </c>
    </row>
    <row r="150" ht="15.75" hidden="1" customHeight="1">
      <c r="A150" s="13" t="s">
        <v>108</v>
      </c>
      <c r="B150" s="13" t="s">
        <v>109</v>
      </c>
      <c r="C150" s="13" t="s">
        <v>110</v>
      </c>
      <c r="D150" s="13" t="s">
        <v>34</v>
      </c>
      <c r="E150" s="13" t="s">
        <v>35</v>
      </c>
      <c r="F150" s="14">
        <v>81.0</v>
      </c>
      <c r="G150" s="15">
        <v>36009.0</v>
      </c>
      <c r="H150" s="15">
        <v>44548.0</v>
      </c>
      <c r="I150" s="10">
        <v>7512.0</v>
      </c>
      <c r="J150" s="13" t="str">
        <f t="shared" si="1"/>
        <v>Pass</v>
      </c>
      <c r="K150" s="13" t="str">
        <f t="array" ref="K150">IFS(F150&gt;=90,"Excellent",F150&gt;=70,"Good",F150&gt;=50,"Average",F150&lt;50,"Poor")</f>
        <v>Good</v>
      </c>
      <c r="L150" s="13" t="str">
        <f t="shared" si="2"/>
        <v>HR</v>
      </c>
      <c r="M150" s="13" t="str">
        <f t="shared" si="3"/>
        <v>Kerry Wilkinson</v>
      </c>
      <c r="N150" s="13">
        <f t="shared" si="4"/>
        <v>6</v>
      </c>
      <c r="O150" s="13">
        <f t="shared" si="5"/>
        <v>27</v>
      </c>
      <c r="P150" s="13" t="str">
        <f t="shared" si="6"/>
        <v>December</v>
      </c>
      <c r="Q150" s="13">
        <f t="shared" si="7"/>
        <v>3</v>
      </c>
      <c r="R150" s="13" t="str">
        <f t="shared" si="8"/>
        <v>Eligible</v>
      </c>
      <c r="S150" s="13" t="str">
        <f t="shared" si="9"/>
        <v>True</v>
      </c>
    </row>
    <row r="151" ht="15.75" hidden="1" customHeight="1">
      <c r="A151" s="13" t="s">
        <v>394</v>
      </c>
      <c r="B151" s="13" t="s">
        <v>304</v>
      </c>
      <c r="C151" s="13" t="s">
        <v>395</v>
      </c>
      <c r="D151" s="13" t="s">
        <v>24</v>
      </c>
      <c r="E151" s="13" t="s">
        <v>89</v>
      </c>
      <c r="F151" s="14">
        <v>34.0</v>
      </c>
      <c r="G151" s="15">
        <v>36973.0</v>
      </c>
      <c r="H151" s="15">
        <v>44579.0</v>
      </c>
      <c r="I151" s="10">
        <v>3069.0</v>
      </c>
      <c r="J151" s="13" t="str">
        <f t="shared" si="1"/>
        <v>Fail</v>
      </c>
      <c r="K151" s="13" t="str">
        <f t="array" ref="K151">IFS(F151&gt;=90,"Excellent",F151&gt;=70,"Good",F151&gt;=50,"Average",F151&lt;50,"Poor")</f>
        <v>Poor</v>
      </c>
      <c r="L151" s="13" t="str">
        <f t="shared" si="2"/>
        <v>IT</v>
      </c>
      <c r="M151" s="13" t="str">
        <f t="shared" si="3"/>
        <v>Tyler Morales</v>
      </c>
      <c r="N151" s="13">
        <f t="shared" si="4"/>
        <v>6</v>
      </c>
      <c r="O151" s="13">
        <f t="shared" si="5"/>
        <v>24</v>
      </c>
      <c r="P151" s="13" t="str">
        <f t="shared" si="6"/>
        <v>January</v>
      </c>
      <c r="Q151" s="13">
        <f t="shared" si="7"/>
        <v>3</v>
      </c>
      <c r="R151" s="13" t="str">
        <f t="shared" si="8"/>
        <v>Not Eligible</v>
      </c>
      <c r="S151" s="13" t="str">
        <f t="shared" si="9"/>
        <v>False</v>
      </c>
    </row>
    <row r="152" ht="15.75" customHeight="1">
      <c r="A152" s="4" t="s">
        <v>315</v>
      </c>
      <c r="B152" s="4" t="s">
        <v>316</v>
      </c>
      <c r="C152" s="4" t="s">
        <v>317</v>
      </c>
      <c r="D152" s="4" t="s">
        <v>75</v>
      </c>
      <c r="E152" s="4" t="s">
        <v>85</v>
      </c>
      <c r="F152" s="5">
        <v>97.0</v>
      </c>
      <c r="G152" s="6">
        <v>34404.0</v>
      </c>
      <c r="H152" s="16">
        <v>44591.0</v>
      </c>
      <c r="I152" s="17">
        <v>4866.0</v>
      </c>
      <c r="J152" s="4" t="str">
        <f t="shared" si="1"/>
        <v>Pass</v>
      </c>
      <c r="K152" s="4" t="str">
        <f t="array" ref="K152">IFS(F152&gt;=90,"Excellent",F152&gt;=70,"Good",F152&gt;=50,"Average",F152&lt;50,"Poor")</f>
        <v>Excellent</v>
      </c>
      <c r="L152" s="4" t="str">
        <f t="shared" si="2"/>
        <v>Mar</v>
      </c>
      <c r="M152" s="4" t="str">
        <f t="shared" si="3"/>
        <v>Christine Martinez</v>
      </c>
      <c r="N152" s="4">
        <f t="shared" si="4"/>
        <v>6</v>
      </c>
      <c r="O152" s="4">
        <f t="shared" si="5"/>
        <v>31</v>
      </c>
      <c r="P152" s="4" t="str">
        <f t="shared" si="6"/>
        <v>January</v>
      </c>
      <c r="Q152" s="4">
        <f t="shared" si="7"/>
        <v>3</v>
      </c>
      <c r="R152" s="4" t="str">
        <f t="shared" si="8"/>
        <v>Eligible</v>
      </c>
      <c r="S152" s="4" t="str">
        <f t="shared" si="9"/>
        <v>False</v>
      </c>
    </row>
    <row r="153" ht="15.75" hidden="1" customHeight="1">
      <c r="A153" s="13" t="s">
        <v>358</v>
      </c>
      <c r="B153" s="13" t="s">
        <v>359</v>
      </c>
      <c r="C153" s="13" t="s">
        <v>210</v>
      </c>
      <c r="D153" s="13" t="s">
        <v>46</v>
      </c>
      <c r="E153" s="13" t="s">
        <v>47</v>
      </c>
      <c r="F153" s="14">
        <v>94.0</v>
      </c>
      <c r="G153" s="15">
        <v>36557.0</v>
      </c>
      <c r="H153" s="15">
        <v>44603.0</v>
      </c>
      <c r="I153" s="10">
        <v>8264.0</v>
      </c>
      <c r="J153" s="13" t="str">
        <f t="shared" si="1"/>
        <v>Pass</v>
      </c>
      <c r="K153" s="13" t="str">
        <f t="array" ref="K153">IFS(F153&gt;=90,"Excellent",F153&gt;=70,"Good",F153&gt;=50,"Average",F153&lt;50,"Poor")</f>
        <v>Excellent</v>
      </c>
      <c r="L153" s="13" t="str">
        <f t="shared" si="2"/>
        <v>Sal</v>
      </c>
      <c r="M153" s="13" t="str">
        <f t="shared" si="3"/>
        <v>Marcus Moore</v>
      </c>
      <c r="N153" s="13">
        <f t="shared" si="4"/>
        <v>6</v>
      </c>
      <c r="O153" s="13">
        <f t="shared" si="5"/>
        <v>25</v>
      </c>
      <c r="P153" s="13" t="str">
        <f t="shared" si="6"/>
        <v>February</v>
      </c>
      <c r="Q153" s="13">
        <f t="shared" si="7"/>
        <v>3</v>
      </c>
      <c r="R153" s="13" t="str">
        <f t="shared" si="8"/>
        <v>Not Eligible</v>
      </c>
      <c r="S153" s="13" t="str">
        <f t="shared" si="9"/>
        <v>True</v>
      </c>
    </row>
    <row r="154" ht="15.75" hidden="1" customHeight="1">
      <c r="A154" s="13" t="s">
        <v>506</v>
      </c>
      <c r="B154" s="13" t="s">
        <v>507</v>
      </c>
      <c r="C154" s="13" t="s">
        <v>508</v>
      </c>
      <c r="D154" s="13" t="s">
        <v>34</v>
      </c>
      <c r="E154" s="13" t="s">
        <v>35</v>
      </c>
      <c r="F154" s="14">
        <v>65.0</v>
      </c>
      <c r="G154" s="15">
        <v>34033.0</v>
      </c>
      <c r="H154" s="15">
        <v>44617.0</v>
      </c>
      <c r="I154" s="10">
        <v>3783.0</v>
      </c>
      <c r="J154" s="13" t="str">
        <f t="shared" si="1"/>
        <v>Pass</v>
      </c>
      <c r="K154" s="13" t="str">
        <f t="array" ref="K154">IFS(F154&gt;=90,"Excellent",F154&gt;=70,"Good",F154&gt;=50,"Average",F154&lt;50,"Poor")</f>
        <v>Average</v>
      </c>
      <c r="L154" s="13" t="str">
        <f t="shared" si="2"/>
        <v>HR</v>
      </c>
      <c r="M154" s="13" t="str">
        <f t="shared" si="3"/>
        <v>Roberto Rhodes</v>
      </c>
      <c r="N154" s="13">
        <f t="shared" si="4"/>
        <v>6</v>
      </c>
      <c r="O154" s="13">
        <f t="shared" si="5"/>
        <v>32</v>
      </c>
      <c r="P154" s="13" t="str">
        <f t="shared" si="6"/>
        <v>February</v>
      </c>
      <c r="Q154" s="13">
        <f t="shared" si="7"/>
        <v>3</v>
      </c>
      <c r="R154" s="13" t="str">
        <f t="shared" si="8"/>
        <v>Eligible</v>
      </c>
      <c r="S154" s="13" t="str">
        <f t="shared" si="9"/>
        <v>True</v>
      </c>
    </row>
    <row r="155" ht="15.75" hidden="1" customHeight="1">
      <c r="A155" s="13" t="s">
        <v>383</v>
      </c>
      <c r="B155" s="13" t="s">
        <v>384</v>
      </c>
      <c r="C155" s="13" t="s">
        <v>271</v>
      </c>
      <c r="D155" s="13" t="s">
        <v>29</v>
      </c>
      <c r="E155" s="13" t="s">
        <v>30</v>
      </c>
      <c r="F155" s="14">
        <v>73.0</v>
      </c>
      <c r="G155" s="15">
        <v>35058.0</v>
      </c>
      <c r="H155" s="15">
        <v>44666.0</v>
      </c>
      <c r="I155" s="10">
        <v>6365.0</v>
      </c>
      <c r="J155" s="13" t="str">
        <f t="shared" si="1"/>
        <v>Pass</v>
      </c>
      <c r="K155" s="13" t="str">
        <f t="array" ref="K155">IFS(F155&gt;=90,"Excellent",F155&gt;=70,"Good",F155&gt;=50,"Average",F155&lt;50,"Poor")</f>
        <v>Good</v>
      </c>
      <c r="L155" s="13" t="str">
        <f t="shared" si="2"/>
        <v>Fin</v>
      </c>
      <c r="M155" s="13" t="str">
        <f t="shared" si="3"/>
        <v>Deanna Lopez</v>
      </c>
      <c r="N155" s="13">
        <f t="shared" si="4"/>
        <v>6</v>
      </c>
      <c r="O155" s="13">
        <f t="shared" si="5"/>
        <v>29</v>
      </c>
      <c r="P155" s="13" t="str">
        <f t="shared" si="6"/>
        <v>April</v>
      </c>
      <c r="Q155" s="13">
        <f t="shared" si="7"/>
        <v>3</v>
      </c>
      <c r="R155" s="13" t="str">
        <f t="shared" si="8"/>
        <v>Eligible</v>
      </c>
      <c r="S155" s="13" t="str">
        <f t="shared" si="9"/>
        <v>False</v>
      </c>
    </row>
    <row r="156" ht="15.75" hidden="1" customHeight="1">
      <c r="A156" s="13" t="s">
        <v>329</v>
      </c>
      <c r="B156" s="13" t="s">
        <v>58</v>
      </c>
      <c r="C156" s="13" t="s">
        <v>180</v>
      </c>
      <c r="D156" s="13" t="s">
        <v>24</v>
      </c>
      <c r="E156" s="13" t="s">
        <v>207</v>
      </c>
      <c r="F156" s="14">
        <v>41.0</v>
      </c>
      <c r="G156" s="15">
        <v>34195.0</v>
      </c>
      <c r="H156" s="15">
        <v>44705.0</v>
      </c>
      <c r="I156" s="10">
        <v>5978.0</v>
      </c>
      <c r="J156" s="13" t="str">
        <f t="shared" si="1"/>
        <v>Fail</v>
      </c>
      <c r="K156" s="13" t="str">
        <f t="array" ref="K156">IFS(F156&gt;=90,"Excellent",F156&gt;=70,"Good",F156&gt;=50,"Average",F156&lt;50,"Poor")</f>
        <v>Poor</v>
      </c>
      <c r="L156" s="13" t="str">
        <f t="shared" si="2"/>
        <v>IT</v>
      </c>
      <c r="M156" s="13" t="str">
        <f t="shared" si="3"/>
        <v>David Schroeder</v>
      </c>
      <c r="N156" s="13">
        <f t="shared" si="4"/>
        <v>6</v>
      </c>
      <c r="O156" s="13">
        <f t="shared" si="5"/>
        <v>32</v>
      </c>
      <c r="P156" s="13" t="str">
        <f t="shared" si="6"/>
        <v>May</v>
      </c>
      <c r="Q156" s="13">
        <f t="shared" si="7"/>
        <v>3</v>
      </c>
      <c r="R156" s="13" t="str">
        <f t="shared" si="8"/>
        <v>Eligible</v>
      </c>
      <c r="S156" s="13" t="str">
        <f t="shared" si="9"/>
        <v>False</v>
      </c>
    </row>
    <row r="157" ht="15.75" hidden="1" customHeight="1">
      <c r="A157" s="13" t="s">
        <v>412</v>
      </c>
      <c r="B157" s="13" t="s">
        <v>313</v>
      </c>
      <c r="C157" s="13" t="s">
        <v>413</v>
      </c>
      <c r="D157" s="13" t="s">
        <v>29</v>
      </c>
      <c r="E157" s="13" t="s">
        <v>39</v>
      </c>
      <c r="F157" s="14">
        <v>47.0</v>
      </c>
      <c r="G157" s="15">
        <v>32835.0</v>
      </c>
      <c r="H157" s="15">
        <v>44753.0</v>
      </c>
      <c r="I157" s="10">
        <v>8654.0</v>
      </c>
      <c r="J157" s="13" t="str">
        <f t="shared" si="1"/>
        <v>Fail</v>
      </c>
      <c r="K157" s="13" t="str">
        <f t="array" ref="K157">IFS(F157&gt;=90,"Excellent",F157&gt;=70,"Good",F157&gt;=50,"Average",F157&lt;50,"Poor")</f>
        <v>Poor</v>
      </c>
      <c r="L157" s="13" t="str">
        <f t="shared" si="2"/>
        <v>Fin</v>
      </c>
      <c r="M157" s="13" t="str">
        <f t="shared" si="3"/>
        <v>Matthew Garcia</v>
      </c>
      <c r="N157" s="13">
        <f t="shared" si="4"/>
        <v>6</v>
      </c>
      <c r="O157" s="13">
        <f t="shared" si="5"/>
        <v>35</v>
      </c>
      <c r="P157" s="13" t="str">
        <f t="shared" si="6"/>
        <v>July</v>
      </c>
      <c r="Q157" s="13">
        <f t="shared" si="7"/>
        <v>3</v>
      </c>
      <c r="R157" s="13" t="str">
        <f t="shared" si="8"/>
        <v>Eligible</v>
      </c>
      <c r="S157" s="13" t="str">
        <f t="shared" si="9"/>
        <v>False</v>
      </c>
    </row>
    <row r="158" ht="15.75" hidden="1" customHeight="1">
      <c r="A158" s="13" t="s">
        <v>43</v>
      </c>
      <c r="B158" s="13" t="s">
        <v>44</v>
      </c>
      <c r="C158" s="13" t="s">
        <v>45</v>
      </c>
      <c r="D158" s="13" t="s">
        <v>46</v>
      </c>
      <c r="E158" s="13" t="s">
        <v>47</v>
      </c>
      <c r="F158" s="14">
        <v>35.0</v>
      </c>
      <c r="G158" s="15">
        <v>37209.0</v>
      </c>
      <c r="H158" s="15">
        <v>44779.0</v>
      </c>
      <c r="I158" s="10">
        <v>4157.0</v>
      </c>
      <c r="J158" s="13" t="str">
        <f t="shared" si="1"/>
        <v>Fail</v>
      </c>
      <c r="K158" s="13" t="str">
        <f t="array" ref="K158">IFS(F158&gt;=90,"Excellent",F158&gt;=70,"Good",F158&gt;=50,"Average",F158&lt;50,"Poor")</f>
        <v>Poor</v>
      </c>
      <c r="L158" s="13" t="str">
        <f t="shared" si="2"/>
        <v>Sal</v>
      </c>
      <c r="M158" s="13" t="str">
        <f t="shared" si="3"/>
        <v>Jonathon Wright</v>
      </c>
      <c r="N158" s="13">
        <f t="shared" si="4"/>
        <v>6</v>
      </c>
      <c r="O158" s="13">
        <f t="shared" si="5"/>
        <v>23</v>
      </c>
      <c r="P158" s="13" t="str">
        <f t="shared" si="6"/>
        <v>August</v>
      </c>
      <c r="Q158" s="13">
        <f t="shared" si="7"/>
        <v>3</v>
      </c>
      <c r="R158" s="13" t="str">
        <f t="shared" si="8"/>
        <v>Not Eligible</v>
      </c>
      <c r="S158" s="13" t="str">
        <f t="shared" si="9"/>
        <v>True</v>
      </c>
    </row>
    <row r="159" ht="15.75" hidden="1" customHeight="1">
      <c r="A159" s="13" t="s">
        <v>278</v>
      </c>
      <c r="B159" s="13" t="s">
        <v>279</v>
      </c>
      <c r="C159" s="13" t="s">
        <v>280</v>
      </c>
      <c r="D159" s="13" t="s">
        <v>29</v>
      </c>
      <c r="E159" s="13" t="s">
        <v>30</v>
      </c>
      <c r="F159" s="14">
        <v>57.0</v>
      </c>
      <c r="G159" s="15">
        <v>37994.0</v>
      </c>
      <c r="H159" s="15">
        <v>44807.0</v>
      </c>
      <c r="I159" s="10">
        <v>3044.0</v>
      </c>
      <c r="J159" s="13" t="str">
        <f t="shared" si="1"/>
        <v>Pass</v>
      </c>
      <c r="K159" s="13" t="str">
        <f t="array" ref="K159">IFS(F159&gt;=90,"Excellent",F159&gt;=70,"Good",F159&gt;=50,"Average",F159&lt;50,"Poor")</f>
        <v>Average</v>
      </c>
      <c r="L159" s="13" t="str">
        <f t="shared" si="2"/>
        <v>Fin</v>
      </c>
      <c r="M159" s="13" t="str">
        <f t="shared" si="3"/>
        <v>Ethan Sutton</v>
      </c>
      <c r="N159" s="13">
        <f t="shared" si="4"/>
        <v>6</v>
      </c>
      <c r="O159" s="13">
        <f t="shared" si="5"/>
        <v>21</v>
      </c>
      <c r="P159" s="13" t="str">
        <f t="shared" si="6"/>
        <v>September</v>
      </c>
      <c r="Q159" s="13">
        <f t="shared" si="7"/>
        <v>3</v>
      </c>
      <c r="R159" s="13" t="str">
        <f t="shared" si="8"/>
        <v>Not Eligible</v>
      </c>
      <c r="S159" s="13" t="str">
        <f t="shared" si="9"/>
        <v>False</v>
      </c>
    </row>
    <row r="160" ht="15.75" hidden="1" customHeight="1">
      <c r="A160" s="13" t="s">
        <v>230</v>
      </c>
      <c r="B160" s="13" t="s">
        <v>231</v>
      </c>
      <c r="C160" s="13" t="s">
        <v>232</v>
      </c>
      <c r="D160" s="13" t="s">
        <v>29</v>
      </c>
      <c r="E160" s="13" t="s">
        <v>30</v>
      </c>
      <c r="F160" s="14">
        <v>90.0</v>
      </c>
      <c r="G160" s="15">
        <v>33027.0</v>
      </c>
      <c r="H160" s="15">
        <v>44837.0</v>
      </c>
      <c r="I160" s="10">
        <v>5629.0</v>
      </c>
      <c r="J160" s="13" t="str">
        <f t="shared" si="1"/>
        <v>Pass</v>
      </c>
      <c r="K160" s="13" t="str">
        <f t="array" ref="K160">IFS(F160&gt;=90,"Excellent",F160&gt;=70,"Good",F160&gt;=50,"Average",F160&lt;50,"Poor")</f>
        <v>Excellent</v>
      </c>
      <c r="L160" s="13" t="str">
        <f t="shared" si="2"/>
        <v>Fin</v>
      </c>
      <c r="M160" s="13" t="str">
        <f t="shared" si="3"/>
        <v>Hector Cooper</v>
      </c>
      <c r="N160" s="13">
        <f t="shared" si="4"/>
        <v>6</v>
      </c>
      <c r="O160" s="13">
        <f t="shared" si="5"/>
        <v>35</v>
      </c>
      <c r="P160" s="13" t="str">
        <f t="shared" si="6"/>
        <v>October</v>
      </c>
      <c r="Q160" s="13">
        <f t="shared" si="7"/>
        <v>3</v>
      </c>
      <c r="R160" s="13" t="str">
        <f t="shared" si="8"/>
        <v>Eligible</v>
      </c>
      <c r="S160" s="13" t="str">
        <f t="shared" si="9"/>
        <v>False</v>
      </c>
    </row>
    <row r="161" ht="15.75" hidden="1" customHeight="1">
      <c r="A161" s="13" t="s">
        <v>286</v>
      </c>
      <c r="B161" s="13" t="s">
        <v>287</v>
      </c>
      <c r="C161" s="13" t="s">
        <v>235</v>
      </c>
      <c r="D161" s="13" t="s">
        <v>46</v>
      </c>
      <c r="E161" s="13" t="s">
        <v>53</v>
      </c>
      <c r="F161" s="14">
        <v>34.0</v>
      </c>
      <c r="G161" s="15">
        <v>37368.0</v>
      </c>
      <c r="H161" s="15">
        <v>45016.0</v>
      </c>
      <c r="I161" s="10">
        <v>4142.0</v>
      </c>
      <c r="J161" s="13" t="str">
        <f t="shared" si="1"/>
        <v>Fail</v>
      </c>
      <c r="K161" s="13" t="str">
        <f t="array" ref="K161">IFS(F161&gt;=90,"Excellent",F161&gt;=70,"Good",F161&gt;=50,"Average",F161&lt;50,"Poor")</f>
        <v>Poor</v>
      </c>
      <c r="L161" s="13" t="str">
        <f t="shared" si="2"/>
        <v>Sal</v>
      </c>
      <c r="M161" s="13" t="str">
        <f t="shared" si="3"/>
        <v>Lindsey Jones</v>
      </c>
      <c r="N161" s="13">
        <f t="shared" si="4"/>
        <v>6</v>
      </c>
      <c r="O161" s="13">
        <f t="shared" si="5"/>
        <v>23</v>
      </c>
      <c r="P161" s="13" t="str">
        <f t="shared" si="6"/>
        <v>March</v>
      </c>
      <c r="Q161" s="13">
        <f t="shared" si="7"/>
        <v>2</v>
      </c>
      <c r="R161" s="13" t="str">
        <f t="shared" si="8"/>
        <v>Not Eligible</v>
      </c>
      <c r="S161" s="13" t="str">
        <f t="shared" si="9"/>
        <v>True</v>
      </c>
    </row>
    <row r="162" ht="15.75" hidden="1" customHeight="1">
      <c r="A162" s="13" t="s">
        <v>396</v>
      </c>
      <c r="B162" s="13" t="s">
        <v>124</v>
      </c>
      <c r="C162" s="13" t="s">
        <v>397</v>
      </c>
      <c r="D162" s="13" t="s">
        <v>34</v>
      </c>
      <c r="E162" s="13" t="s">
        <v>35</v>
      </c>
      <c r="F162" s="14">
        <v>69.0</v>
      </c>
      <c r="G162" s="15">
        <v>37189.0</v>
      </c>
      <c r="H162" s="15">
        <v>45042.0</v>
      </c>
      <c r="I162" s="10">
        <v>4990.0</v>
      </c>
      <c r="J162" s="13" t="str">
        <f t="shared" si="1"/>
        <v>Pass</v>
      </c>
      <c r="K162" s="13" t="str">
        <f t="array" ref="K162">IFS(F162&gt;=90,"Excellent",F162&gt;=70,"Good",F162&gt;=50,"Average",F162&lt;50,"Poor")</f>
        <v>Average</v>
      </c>
      <c r="L162" s="13" t="str">
        <f t="shared" si="2"/>
        <v>HR</v>
      </c>
      <c r="M162" s="13" t="str">
        <f t="shared" si="3"/>
        <v>Charles Carpenter</v>
      </c>
      <c r="N162" s="13">
        <f t="shared" si="4"/>
        <v>6</v>
      </c>
      <c r="O162" s="13">
        <f t="shared" si="5"/>
        <v>24</v>
      </c>
      <c r="P162" s="13" t="str">
        <f t="shared" si="6"/>
        <v>April</v>
      </c>
      <c r="Q162" s="13">
        <f t="shared" si="7"/>
        <v>2</v>
      </c>
      <c r="R162" s="13" t="str">
        <f t="shared" si="8"/>
        <v>Not Eligible</v>
      </c>
      <c r="S162" s="13" t="str">
        <f t="shared" si="9"/>
        <v>True</v>
      </c>
    </row>
    <row r="163" ht="15.75" hidden="1" customHeight="1">
      <c r="A163" s="13" t="s">
        <v>175</v>
      </c>
      <c r="B163" s="13" t="s">
        <v>176</v>
      </c>
      <c r="C163" s="13" t="s">
        <v>177</v>
      </c>
      <c r="D163" s="13" t="s">
        <v>46</v>
      </c>
      <c r="E163" s="13" t="s">
        <v>53</v>
      </c>
      <c r="F163" s="14">
        <v>34.0</v>
      </c>
      <c r="G163" s="15">
        <v>35215.0</v>
      </c>
      <c r="H163" s="15">
        <v>45053.0</v>
      </c>
      <c r="I163" s="10">
        <v>9136.0</v>
      </c>
      <c r="J163" s="13" t="str">
        <f t="shared" si="1"/>
        <v>Fail</v>
      </c>
      <c r="K163" s="13" t="str">
        <f t="array" ref="K163">IFS(F163&gt;=90,"Excellent",F163&gt;=70,"Good",F163&gt;=50,"Average",F163&lt;50,"Poor")</f>
        <v>Poor</v>
      </c>
      <c r="L163" s="13" t="str">
        <f t="shared" si="2"/>
        <v>Sal</v>
      </c>
      <c r="M163" s="13" t="str">
        <f t="shared" si="3"/>
        <v>Russell Robinson</v>
      </c>
      <c r="N163" s="13">
        <f t="shared" si="4"/>
        <v>6</v>
      </c>
      <c r="O163" s="13">
        <f t="shared" si="5"/>
        <v>29</v>
      </c>
      <c r="P163" s="13" t="str">
        <f t="shared" si="6"/>
        <v>May</v>
      </c>
      <c r="Q163" s="13">
        <f t="shared" si="7"/>
        <v>2</v>
      </c>
      <c r="R163" s="13" t="str">
        <f t="shared" si="8"/>
        <v>Not Eligible</v>
      </c>
      <c r="S163" s="13" t="str">
        <f t="shared" si="9"/>
        <v>True</v>
      </c>
    </row>
    <row r="164" ht="15.75" hidden="1" customHeight="1">
      <c r="A164" s="13" t="s">
        <v>500</v>
      </c>
      <c r="B164" s="13" t="s">
        <v>501</v>
      </c>
      <c r="C164" s="13" t="s">
        <v>502</v>
      </c>
      <c r="D164" s="13" t="s">
        <v>29</v>
      </c>
      <c r="E164" s="13" t="s">
        <v>30</v>
      </c>
      <c r="F164" s="14">
        <v>45.0</v>
      </c>
      <c r="G164" s="15">
        <v>37419.0</v>
      </c>
      <c r="H164" s="15">
        <v>45117.0</v>
      </c>
      <c r="I164" s="10">
        <v>7832.0</v>
      </c>
      <c r="J164" s="13" t="str">
        <f t="shared" si="1"/>
        <v>Fail</v>
      </c>
      <c r="K164" s="13" t="str">
        <f t="array" ref="K164">IFS(F164&gt;=90,"Excellent",F164&gt;=70,"Good",F164&gt;=50,"Average",F164&lt;50,"Poor")</f>
        <v>Poor</v>
      </c>
      <c r="L164" s="13" t="str">
        <f t="shared" si="2"/>
        <v>Fin</v>
      </c>
      <c r="M164" s="13" t="str">
        <f t="shared" si="3"/>
        <v>Joyce Morton</v>
      </c>
      <c r="N164" s="13">
        <f t="shared" si="4"/>
        <v>6</v>
      </c>
      <c r="O164" s="13">
        <f t="shared" si="5"/>
        <v>23</v>
      </c>
      <c r="P164" s="13" t="str">
        <f t="shared" si="6"/>
        <v>July</v>
      </c>
      <c r="Q164" s="13">
        <f t="shared" si="7"/>
        <v>2</v>
      </c>
      <c r="R164" s="13" t="str">
        <f t="shared" si="8"/>
        <v>Not Eligible</v>
      </c>
      <c r="S164" s="13" t="str">
        <f t="shared" si="9"/>
        <v>False</v>
      </c>
    </row>
    <row r="165" ht="15.75" hidden="1" customHeight="1">
      <c r="A165" s="13" t="s">
        <v>149</v>
      </c>
      <c r="B165" s="13" t="s">
        <v>150</v>
      </c>
      <c r="C165" s="13" t="s">
        <v>151</v>
      </c>
      <c r="D165" s="13" t="s">
        <v>29</v>
      </c>
      <c r="E165" s="13" t="s">
        <v>30</v>
      </c>
      <c r="F165" s="14">
        <v>69.0</v>
      </c>
      <c r="G165" s="15">
        <v>37842.0</v>
      </c>
      <c r="H165" s="15">
        <v>45122.0</v>
      </c>
      <c r="I165" s="10">
        <v>3996.0</v>
      </c>
      <c r="J165" s="13" t="str">
        <f t="shared" si="1"/>
        <v>Pass</v>
      </c>
      <c r="K165" s="13" t="str">
        <f t="array" ref="K165">IFS(F165&gt;=90,"Excellent",F165&gt;=70,"Good",F165&gt;=50,"Average",F165&lt;50,"Poor")</f>
        <v>Average</v>
      </c>
      <c r="L165" s="13" t="str">
        <f t="shared" si="2"/>
        <v>Fin</v>
      </c>
      <c r="M165" s="13" t="str">
        <f t="shared" si="3"/>
        <v>Danielle Howard</v>
      </c>
      <c r="N165" s="13">
        <f t="shared" si="4"/>
        <v>6</v>
      </c>
      <c r="O165" s="13">
        <f t="shared" si="5"/>
        <v>22</v>
      </c>
      <c r="P165" s="13" t="str">
        <f t="shared" si="6"/>
        <v>July</v>
      </c>
      <c r="Q165" s="13">
        <f t="shared" si="7"/>
        <v>2</v>
      </c>
      <c r="R165" s="13" t="str">
        <f t="shared" si="8"/>
        <v>Not Eligible</v>
      </c>
      <c r="S165" s="13" t="str">
        <f t="shared" si="9"/>
        <v>False</v>
      </c>
    </row>
    <row r="166" ht="15.75" hidden="1" customHeight="1">
      <c r="A166" s="13" t="s">
        <v>160</v>
      </c>
      <c r="B166" s="13" t="s">
        <v>161</v>
      </c>
      <c r="C166" s="13" t="s">
        <v>136</v>
      </c>
      <c r="D166" s="13" t="s">
        <v>34</v>
      </c>
      <c r="E166" s="13" t="s">
        <v>71</v>
      </c>
      <c r="F166" s="14">
        <v>87.0</v>
      </c>
      <c r="G166" s="15">
        <v>35751.0</v>
      </c>
      <c r="H166" s="15">
        <v>45132.0</v>
      </c>
      <c r="I166" s="10">
        <v>5621.0</v>
      </c>
      <c r="J166" s="13" t="str">
        <f t="shared" si="1"/>
        <v>Pass</v>
      </c>
      <c r="K166" s="13" t="str">
        <f t="array" ref="K166">IFS(F166&gt;=90,"Excellent",F166&gt;=70,"Good",F166&gt;=50,"Average",F166&lt;50,"Poor")</f>
        <v>Good</v>
      </c>
      <c r="L166" s="13" t="str">
        <f t="shared" si="2"/>
        <v>HR</v>
      </c>
      <c r="M166" s="13" t="str">
        <f t="shared" si="3"/>
        <v>Priscilla Johnson</v>
      </c>
      <c r="N166" s="13">
        <f t="shared" si="4"/>
        <v>6</v>
      </c>
      <c r="O166" s="13">
        <f t="shared" si="5"/>
        <v>27</v>
      </c>
      <c r="P166" s="13" t="str">
        <f t="shared" si="6"/>
        <v>July</v>
      </c>
      <c r="Q166" s="13">
        <f t="shared" si="7"/>
        <v>2</v>
      </c>
      <c r="R166" s="13" t="str">
        <f t="shared" si="8"/>
        <v>Not Eligible</v>
      </c>
      <c r="S166" s="13" t="str">
        <f t="shared" si="9"/>
        <v>True</v>
      </c>
    </row>
    <row r="167" ht="15.75" hidden="1" customHeight="1">
      <c r="A167" s="13" t="s">
        <v>198</v>
      </c>
      <c r="B167" s="13" t="s">
        <v>199</v>
      </c>
      <c r="C167" s="13" t="s">
        <v>200</v>
      </c>
      <c r="D167" s="13" t="s">
        <v>34</v>
      </c>
      <c r="E167" s="13" t="s">
        <v>35</v>
      </c>
      <c r="F167" s="14">
        <v>31.0</v>
      </c>
      <c r="G167" s="15">
        <v>36745.0</v>
      </c>
      <c r="H167" s="15">
        <v>45140.0</v>
      </c>
      <c r="I167" s="10">
        <v>5912.0</v>
      </c>
      <c r="J167" s="13" t="str">
        <f t="shared" si="1"/>
        <v>Fail</v>
      </c>
      <c r="K167" s="13" t="str">
        <f t="array" ref="K167">IFS(F167&gt;=90,"Excellent",F167&gt;=70,"Good",F167&gt;=50,"Average",F167&lt;50,"Poor")</f>
        <v>Poor</v>
      </c>
      <c r="L167" s="13" t="str">
        <f t="shared" si="2"/>
        <v>HR</v>
      </c>
      <c r="M167" s="13" t="str">
        <f t="shared" si="3"/>
        <v>Wendy Phillips</v>
      </c>
      <c r="N167" s="13">
        <f t="shared" si="4"/>
        <v>6</v>
      </c>
      <c r="O167" s="13">
        <f t="shared" si="5"/>
        <v>25</v>
      </c>
      <c r="P167" s="13" t="str">
        <f t="shared" si="6"/>
        <v>August</v>
      </c>
      <c r="Q167" s="13">
        <f t="shared" si="7"/>
        <v>2</v>
      </c>
      <c r="R167" s="13" t="str">
        <f t="shared" si="8"/>
        <v>Not Eligible</v>
      </c>
      <c r="S167" s="13" t="str">
        <f t="shared" si="9"/>
        <v>True</v>
      </c>
    </row>
    <row r="168" ht="15.75" hidden="1" customHeight="1">
      <c r="A168" s="13" t="s">
        <v>276</v>
      </c>
      <c r="B168" s="13" t="s">
        <v>61</v>
      </c>
      <c r="C168" s="13" t="s">
        <v>277</v>
      </c>
      <c r="D168" s="13" t="s">
        <v>29</v>
      </c>
      <c r="E168" s="13" t="s">
        <v>39</v>
      </c>
      <c r="F168" s="14">
        <v>57.0</v>
      </c>
      <c r="G168" s="15">
        <v>33477.0</v>
      </c>
      <c r="H168" s="15">
        <v>45142.0</v>
      </c>
      <c r="I168" s="10">
        <v>5542.0</v>
      </c>
      <c r="J168" s="13" t="str">
        <f t="shared" si="1"/>
        <v>Pass</v>
      </c>
      <c r="K168" s="13" t="str">
        <f t="array" ref="K168">IFS(F168&gt;=90,"Excellent",F168&gt;=70,"Good",F168&gt;=50,"Average",F168&lt;50,"Poor")</f>
        <v>Average</v>
      </c>
      <c r="L168" s="13" t="str">
        <f t="shared" si="2"/>
        <v>Fin</v>
      </c>
      <c r="M168" s="13" t="str">
        <f t="shared" si="3"/>
        <v>John Levy</v>
      </c>
      <c r="N168" s="13">
        <f t="shared" si="4"/>
        <v>6</v>
      </c>
      <c r="O168" s="13">
        <f t="shared" si="5"/>
        <v>34</v>
      </c>
      <c r="P168" s="13" t="str">
        <f t="shared" si="6"/>
        <v>August</v>
      </c>
      <c r="Q168" s="13">
        <f t="shared" si="7"/>
        <v>2</v>
      </c>
      <c r="R168" s="13" t="str">
        <f t="shared" si="8"/>
        <v>Not Eligible</v>
      </c>
      <c r="S168" s="13" t="str">
        <f t="shared" si="9"/>
        <v>False</v>
      </c>
    </row>
    <row r="169" ht="15.75" hidden="1" customHeight="1">
      <c r="A169" s="13" t="s">
        <v>196</v>
      </c>
      <c r="B169" s="13" t="s">
        <v>197</v>
      </c>
      <c r="C169" s="13" t="s">
        <v>113</v>
      </c>
      <c r="D169" s="13" t="s">
        <v>24</v>
      </c>
      <c r="E169" s="13" t="s">
        <v>25</v>
      </c>
      <c r="F169" s="14">
        <v>74.0</v>
      </c>
      <c r="G169" s="15">
        <v>35226.0</v>
      </c>
      <c r="H169" s="15">
        <v>45182.0</v>
      </c>
      <c r="I169" s="10">
        <v>3406.0</v>
      </c>
      <c r="J169" s="13" t="str">
        <f t="shared" si="1"/>
        <v>Pass</v>
      </c>
      <c r="K169" s="13" t="str">
        <f t="array" ref="K169">IFS(F169&gt;=90,"Excellent",F169&gt;=70,"Good",F169&gt;=50,"Average",F169&lt;50,"Poor")</f>
        <v>Good</v>
      </c>
      <c r="L169" s="13" t="str">
        <f t="shared" si="2"/>
        <v>IT</v>
      </c>
      <c r="M169" s="13" t="str">
        <f t="shared" si="3"/>
        <v>Anna Martin</v>
      </c>
      <c r="N169" s="13">
        <f t="shared" si="4"/>
        <v>6</v>
      </c>
      <c r="O169" s="13">
        <f t="shared" si="5"/>
        <v>29</v>
      </c>
      <c r="P169" s="13" t="str">
        <f t="shared" si="6"/>
        <v>September</v>
      </c>
      <c r="Q169" s="13">
        <f t="shared" si="7"/>
        <v>2</v>
      </c>
      <c r="R169" s="13" t="str">
        <f t="shared" si="8"/>
        <v>Not Eligible</v>
      </c>
      <c r="S169" s="13" t="str">
        <f t="shared" si="9"/>
        <v>False</v>
      </c>
    </row>
    <row r="170" ht="15.75" hidden="1" customHeight="1">
      <c r="A170" s="13" t="s">
        <v>444</v>
      </c>
      <c r="B170" s="13" t="s">
        <v>313</v>
      </c>
      <c r="C170" s="13" t="s">
        <v>445</v>
      </c>
      <c r="D170" s="13" t="s">
        <v>29</v>
      </c>
      <c r="E170" s="13" t="s">
        <v>39</v>
      </c>
      <c r="F170" s="14">
        <v>67.0</v>
      </c>
      <c r="G170" s="15">
        <v>35430.0</v>
      </c>
      <c r="H170" s="15">
        <v>45200.0</v>
      </c>
      <c r="I170" s="10">
        <v>6202.0</v>
      </c>
      <c r="J170" s="13" t="str">
        <f t="shared" si="1"/>
        <v>Pass</v>
      </c>
      <c r="K170" s="13" t="str">
        <f t="array" ref="K170">IFS(F170&gt;=90,"Excellent",F170&gt;=70,"Good",F170&gt;=50,"Average",F170&lt;50,"Poor")</f>
        <v>Average</v>
      </c>
      <c r="L170" s="13" t="str">
        <f t="shared" si="2"/>
        <v>Fin</v>
      </c>
      <c r="M170" s="13" t="str">
        <f t="shared" si="3"/>
        <v>Matthew Reynolds</v>
      </c>
      <c r="N170" s="13">
        <f t="shared" si="4"/>
        <v>6</v>
      </c>
      <c r="O170" s="13">
        <f t="shared" si="5"/>
        <v>28</v>
      </c>
      <c r="P170" s="13" t="str">
        <f t="shared" si="6"/>
        <v>October</v>
      </c>
      <c r="Q170" s="13">
        <f t="shared" si="7"/>
        <v>2</v>
      </c>
      <c r="R170" s="13" t="str">
        <f t="shared" si="8"/>
        <v>Not Eligible</v>
      </c>
      <c r="S170" s="13" t="str">
        <f t="shared" si="9"/>
        <v>False</v>
      </c>
    </row>
    <row r="171" ht="15.75" hidden="1" customHeight="1">
      <c r="A171" s="13" t="s">
        <v>21</v>
      </c>
      <c r="B171" s="13" t="s">
        <v>22</v>
      </c>
      <c r="C171" s="13" t="s">
        <v>23</v>
      </c>
      <c r="D171" s="13" t="s">
        <v>24</v>
      </c>
      <c r="E171" s="13" t="s">
        <v>25</v>
      </c>
      <c r="F171" s="14">
        <v>85.0</v>
      </c>
      <c r="G171" s="15">
        <v>33693.0</v>
      </c>
      <c r="H171" s="15">
        <v>45252.0</v>
      </c>
      <c r="I171" s="10">
        <v>8352.0</v>
      </c>
      <c r="J171" s="13" t="str">
        <f t="shared" si="1"/>
        <v>Pass</v>
      </c>
      <c r="K171" s="13" t="str">
        <f t="array" ref="K171">IFS(F171&gt;=90,"Excellent",F171&gt;=70,"Good",F171&gt;=50,"Average",F171&lt;50,"Poor")</f>
        <v>Good</v>
      </c>
      <c r="L171" s="13" t="str">
        <f t="shared" si="2"/>
        <v>IT</v>
      </c>
      <c r="M171" s="13" t="str">
        <f t="shared" si="3"/>
        <v>Michael Wagner</v>
      </c>
      <c r="N171" s="13">
        <f t="shared" si="4"/>
        <v>6</v>
      </c>
      <c r="O171" s="13">
        <f t="shared" si="5"/>
        <v>33</v>
      </c>
      <c r="P171" s="13" t="str">
        <f t="shared" si="6"/>
        <v>November</v>
      </c>
      <c r="Q171" s="13">
        <f t="shared" si="7"/>
        <v>1</v>
      </c>
      <c r="R171" s="13" t="str">
        <f t="shared" si="8"/>
        <v>Not Eligible</v>
      </c>
      <c r="S171" s="13" t="str">
        <f t="shared" si="9"/>
        <v>False</v>
      </c>
    </row>
    <row r="172" ht="15.75" hidden="1" customHeight="1">
      <c r="A172" s="13" t="s">
        <v>77</v>
      </c>
      <c r="B172" s="13" t="s">
        <v>78</v>
      </c>
      <c r="C172" s="13" t="s">
        <v>79</v>
      </c>
      <c r="D172" s="13" t="s">
        <v>46</v>
      </c>
      <c r="E172" s="13" t="s">
        <v>53</v>
      </c>
      <c r="F172" s="14">
        <v>94.0</v>
      </c>
      <c r="G172" s="15">
        <v>33772.0</v>
      </c>
      <c r="H172" s="15">
        <v>45258.0</v>
      </c>
      <c r="I172" s="10">
        <v>6417.0</v>
      </c>
      <c r="J172" s="13" t="str">
        <f t="shared" si="1"/>
        <v>Pass</v>
      </c>
      <c r="K172" s="13" t="str">
        <f t="array" ref="K172">IFS(F172&gt;=90,"Excellent",F172&gt;=70,"Good",F172&gt;=50,"Average",F172&lt;50,"Poor")</f>
        <v>Excellent</v>
      </c>
      <c r="L172" s="13" t="str">
        <f t="shared" si="2"/>
        <v>Sal</v>
      </c>
      <c r="M172" s="13" t="str">
        <f t="shared" si="3"/>
        <v>Brian Carroll</v>
      </c>
      <c r="N172" s="13">
        <f t="shared" si="4"/>
        <v>6</v>
      </c>
      <c r="O172" s="13">
        <f t="shared" si="5"/>
        <v>33</v>
      </c>
      <c r="P172" s="13" t="str">
        <f t="shared" si="6"/>
        <v>November</v>
      </c>
      <c r="Q172" s="13">
        <f t="shared" si="7"/>
        <v>1</v>
      </c>
      <c r="R172" s="13" t="str">
        <f t="shared" si="8"/>
        <v>Not Eligible</v>
      </c>
      <c r="S172" s="13" t="str">
        <f t="shared" si="9"/>
        <v>True</v>
      </c>
    </row>
    <row r="173" ht="15.75" hidden="1" customHeight="1">
      <c r="A173" s="13" t="s">
        <v>386</v>
      </c>
      <c r="B173" s="13" t="s">
        <v>387</v>
      </c>
      <c r="C173" s="13" t="s">
        <v>388</v>
      </c>
      <c r="D173" s="13" t="s">
        <v>29</v>
      </c>
      <c r="E173" s="13" t="s">
        <v>39</v>
      </c>
      <c r="F173" s="14">
        <v>59.0</v>
      </c>
      <c r="G173" s="15">
        <v>34181.0</v>
      </c>
      <c r="H173" s="15">
        <v>45281.0</v>
      </c>
      <c r="I173" s="10">
        <v>7110.0</v>
      </c>
      <c r="J173" s="13" t="str">
        <f t="shared" si="1"/>
        <v>Pass</v>
      </c>
      <c r="K173" s="13" t="str">
        <f t="array" ref="K173">IFS(F173&gt;=90,"Excellent",F173&gt;=70,"Good",F173&gt;=50,"Average",F173&lt;50,"Poor")</f>
        <v>Average</v>
      </c>
      <c r="L173" s="13" t="str">
        <f t="shared" si="2"/>
        <v>Fin</v>
      </c>
      <c r="M173" s="13" t="str">
        <f t="shared" si="3"/>
        <v>William Coleman</v>
      </c>
      <c r="N173" s="13">
        <f t="shared" si="4"/>
        <v>6</v>
      </c>
      <c r="O173" s="13">
        <f t="shared" si="5"/>
        <v>32</v>
      </c>
      <c r="P173" s="13" t="str">
        <f t="shared" si="6"/>
        <v>December</v>
      </c>
      <c r="Q173" s="13">
        <f t="shared" si="7"/>
        <v>1</v>
      </c>
      <c r="R173" s="13" t="str">
        <f t="shared" si="8"/>
        <v>Not Eligible</v>
      </c>
      <c r="S173" s="13" t="str">
        <f t="shared" si="9"/>
        <v>False</v>
      </c>
    </row>
    <row r="174" ht="15.75" hidden="1" customHeight="1">
      <c r="A174" s="13" t="s">
        <v>448</v>
      </c>
      <c r="B174" s="13" t="s">
        <v>449</v>
      </c>
      <c r="C174" s="13" t="s">
        <v>450</v>
      </c>
      <c r="D174" s="13" t="s">
        <v>46</v>
      </c>
      <c r="E174" s="13" t="s">
        <v>217</v>
      </c>
      <c r="F174" s="14">
        <v>32.0</v>
      </c>
      <c r="G174" s="15">
        <v>31566.0</v>
      </c>
      <c r="H174" s="15">
        <v>45296.0</v>
      </c>
      <c r="I174" s="10">
        <v>5349.0</v>
      </c>
      <c r="J174" s="13" t="str">
        <f t="shared" si="1"/>
        <v>Fail</v>
      </c>
      <c r="K174" s="13" t="str">
        <f t="array" ref="K174">IFS(F174&gt;=90,"Excellent",F174&gt;=70,"Good",F174&gt;=50,"Average",F174&lt;50,"Poor")</f>
        <v>Poor</v>
      </c>
      <c r="L174" s="13" t="str">
        <f t="shared" si="2"/>
        <v>Sal</v>
      </c>
      <c r="M174" s="13" t="str">
        <f t="shared" si="3"/>
        <v>Melissa Hubbard</v>
      </c>
      <c r="N174" s="13">
        <f t="shared" si="4"/>
        <v>6</v>
      </c>
      <c r="O174" s="13">
        <f t="shared" si="5"/>
        <v>39</v>
      </c>
      <c r="P174" s="13" t="str">
        <f t="shared" si="6"/>
        <v>January</v>
      </c>
      <c r="Q174" s="13">
        <f t="shared" si="7"/>
        <v>1</v>
      </c>
      <c r="R174" s="13" t="str">
        <f t="shared" si="8"/>
        <v>Not Eligible</v>
      </c>
      <c r="S174" s="13" t="str">
        <f t="shared" si="9"/>
        <v>True</v>
      </c>
    </row>
    <row r="175" ht="15.75" hidden="1" customHeight="1">
      <c r="A175" s="13" t="s">
        <v>441</v>
      </c>
      <c r="B175" s="13" t="s">
        <v>442</v>
      </c>
      <c r="C175" s="13" t="s">
        <v>443</v>
      </c>
      <c r="D175" s="13" t="s">
        <v>29</v>
      </c>
      <c r="E175" s="13" t="s">
        <v>30</v>
      </c>
      <c r="F175" s="14">
        <v>75.0</v>
      </c>
      <c r="G175" s="15">
        <v>34474.0</v>
      </c>
      <c r="H175" s="15">
        <v>45313.0</v>
      </c>
      <c r="I175" s="10">
        <v>8511.0</v>
      </c>
      <c r="J175" s="13" t="str">
        <f t="shared" si="1"/>
        <v>Pass</v>
      </c>
      <c r="K175" s="13" t="str">
        <f t="array" ref="K175">IFS(F175&gt;=90,"Excellent",F175&gt;=70,"Good",F175&gt;=50,"Average",F175&lt;50,"Poor")</f>
        <v>Good</v>
      </c>
      <c r="L175" s="13" t="str">
        <f t="shared" si="2"/>
        <v>Fin</v>
      </c>
      <c r="M175" s="13" t="str">
        <f t="shared" si="3"/>
        <v>Nancy Montoya</v>
      </c>
      <c r="N175" s="13">
        <f t="shared" si="4"/>
        <v>6</v>
      </c>
      <c r="O175" s="13">
        <f t="shared" si="5"/>
        <v>31</v>
      </c>
      <c r="P175" s="13" t="str">
        <f t="shared" si="6"/>
        <v>January</v>
      </c>
      <c r="Q175" s="13">
        <f t="shared" si="7"/>
        <v>1</v>
      </c>
      <c r="R175" s="13" t="str">
        <f t="shared" si="8"/>
        <v>Not Eligible</v>
      </c>
      <c r="S175" s="13" t="str">
        <f t="shared" si="9"/>
        <v>False</v>
      </c>
    </row>
    <row r="176" ht="15.75" hidden="1" customHeight="1">
      <c r="A176" s="13" t="s">
        <v>105</v>
      </c>
      <c r="B176" s="13" t="s">
        <v>106</v>
      </c>
      <c r="C176" s="13" t="s">
        <v>107</v>
      </c>
      <c r="D176" s="13" t="s">
        <v>29</v>
      </c>
      <c r="E176" s="13" t="s">
        <v>30</v>
      </c>
      <c r="F176" s="14">
        <v>51.0</v>
      </c>
      <c r="G176" s="15">
        <v>32403.0</v>
      </c>
      <c r="H176" s="15">
        <v>45318.0</v>
      </c>
      <c r="I176" s="10">
        <v>3378.0</v>
      </c>
      <c r="J176" s="13" t="str">
        <f t="shared" si="1"/>
        <v>Pass</v>
      </c>
      <c r="K176" s="13" t="str">
        <f t="array" ref="K176">IFS(F176&gt;=90,"Excellent",F176&gt;=70,"Good",F176&gt;=50,"Average",F176&lt;50,"Poor")</f>
        <v>Average</v>
      </c>
      <c r="L176" s="13" t="str">
        <f t="shared" si="2"/>
        <v>Fin</v>
      </c>
      <c r="M176" s="13" t="str">
        <f t="shared" si="3"/>
        <v>Amanda Zuniga</v>
      </c>
      <c r="N176" s="13">
        <f t="shared" si="4"/>
        <v>6</v>
      </c>
      <c r="O176" s="13">
        <f t="shared" si="5"/>
        <v>37</v>
      </c>
      <c r="P176" s="13" t="str">
        <f t="shared" si="6"/>
        <v>January</v>
      </c>
      <c r="Q176" s="13">
        <f t="shared" si="7"/>
        <v>1</v>
      </c>
      <c r="R176" s="13" t="str">
        <f t="shared" si="8"/>
        <v>Not Eligible</v>
      </c>
      <c r="S176" s="13" t="str">
        <f t="shared" si="9"/>
        <v>False</v>
      </c>
    </row>
    <row r="177" ht="15.75" hidden="1" customHeight="1">
      <c r="A177" s="13" t="s">
        <v>467</v>
      </c>
      <c r="B177" s="13" t="s">
        <v>468</v>
      </c>
      <c r="C177" s="13" t="s">
        <v>263</v>
      </c>
      <c r="D177" s="13" t="s">
        <v>75</v>
      </c>
      <c r="E177" s="13" t="s">
        <v>85</v>
      </c>
      <c r="F177" s="14">
        <v>63.0</v>
      </c>
      <c r="G177" s="15">
        <v>34663.0</v>
      </c>
      <c r="H177" s="15">
        <v>45352.0</v>
      </c>
      <c r="I177" s="10">
        <v>4973.0</v>
      </c>
      <c r="J177" s="13" t="str">
        <f t="shared" si="1"/>
        <v>Pass</v>
      </c>
      <c r="K177" s="13" t="str">
        <f t="array" ref="K177">IFS(F177&gt;=90,"Excellent",F177&gt;=70,"Good",F177&gt;=50,"Average",F177&lt;50,"Poor")</f>
        <v>Average</v>
      </c>
      <c r="L177" s="13" t="str">
        <f t="shared" si="2"/>
        <v>Mar</v>
      </c>
      <c r="M177" s="13" t="str">
        <f t="shared" si="3"/>
        <v>James Miller</v>
      </c>
      <c r="N177" s="13">
        <f t="shared" si="4"/>
        <v>6</v>
      </c>
      <c r="O177" s="13">
        <f t="shared" si="5"/>
        <v>30</v>
      </c>
      <c r="P177" s="13" t="str">
        <f t="shared" si="6"/>
        <v>March</v>
      </c>
      <c r="Q177" s="13">
        <f t="shared" si="7"/>
        <v>1</v>
      </c>
      <c r="R177" s="13" t="str">
        <f t="shared" si="8"/>
        <v>Not Eligible</v>
      </c>
      <c r="S177" s="13" t="str">
        <f t="shared" si="9"/>
        <v>False</v>
      </c>
    </row>
    <row r="178" ht="15.75" hidden="1" customHeight="1">
      <c r="A178" s="13" t="s">
        <v>455</v>
      </c>
      <c r="B178" s="13" t="s">
        <v>456</v>
      </c>
      <c r="C178" s="13" t="s">
        <v>457</v>
      </c>
      <c r="D178" s="13" t="s">
        <v>34</v>
      </c>
      <c r="E178" s="13" t="s">
        <v>71</v>
      </c>
      <c r="F178" s="14">
        <v>83.0</v>
      </c>
      <c r="G178" s="15">
        <v>33886.0</v>
      </c>
      <c r="H178" s="15">
        <v>45355.0</v>
      </c>
      <c r="I178" s="10">
        <v>6156.0</v>
      </c>
      <c r="J178" s="13" t="str">
        <f t="shared" si="1"/>
        <v>Pass</v>
      </c>
      <c r="K178" s="13" t="str">
        <f t="array" ref="K178">IFS(F178&gt;=90,"Excellent",F178&gt;=70,"Good",F178&gt;=50,"Average",F178&lt;50,"Poor")</f>
        <v>Good</v>
      </c>
      <c r="L178" s="13" t="str">
        <f t="shared" si="2"/>
        <v>HR</v>
      </c>
      <c r="M178" s="13" t="str">
        <f t="shared" si="3"/>
        <v>Sean Hunt</v>
      </c>
      <c r="N178" s="13">
        <f t="shared" si="4"/>
        <v>6</v>
      </c>
      <c r="O178" s="13">
        <f t="shared" si="5"/>
        <v>33</v>
      </c>
      <c r="P178" s="13" t="str">
        <f t="shared" si="6"/>
        <v>March</v>
      </c>
      <c r="Q178" s="13">
        <f t="shared" si="7"/>
        <v>1</v>
      </c>
      <c r="R178" s="13" t="str">
        <f t="shared" si="8"/>
        <v>Not Eligible</v>
      </c>
      <c r="S178" s="13" t="str">
        <f t="shared" si="9"/>
        <v>True</v>
      </c>
    </row>
    <row r="179" ht="15.75" customHeight="1">
      <c r="A179" s="4" t="s">
        <v>330</v>
      </c>
      <c r="B179" s="4" t="s">
        <v>331</v>
      </c>
      <c r="C179" s="4" t="s">
        <v>332</v>
      </c>
      <c r="D179" s="4" t="s">
        <v>75</v>
      </c>
      <c r="E179" s="4" t="s">
        <v>85</v>
      </c>
      <c r="F179" s="5">
        <v>97.0</v>
      </c>
      <c r="G179" s="6">
        <v>35561.0</v>
      </c>
      <c r="H179" s="16">
        <v>45401.0</v>
      </c>
      <c r="I179" s="17">
        <v>4956.0</v>
      </c>
      <c r="J179" s="4" t="str">
        <f t="shared" si="1"/>
        <v>Pass</v>
      </c>
      <c r="K179" s="4" t="str">
        <f t="array" ref="K179">IFS(F179&gt;=90,"Excellent",F179&gt;=70,"Good",F179&gt;=50,"Average",F179&lt;50,"Poor")</f>
        <v>Excellent</v>
      </c>
      <c r="L179" s="4" t="str">
        <f t="shared" si="2"/>
        <v>Mar</v>
      </c>
      <c r="M179" s="4" t="str">
        <f t="shared" si="3"/>
        <v>Michele Welch</v>
      </c>
      <c r="N179" s="4">
        <f t="shared" si="4"/>
        <v>6</v>
      </c>
      <c r="O179" s="4">
        <f t="shared" si="5"/>
        <v>28</v>
      </c>
      <c r="P179" s="4" t="str">
        <f t="shared" si="6"/>
        <v>April</v>
      </c>
      <c r="Q179" s="4">
        <f t="shared" si="7"/>
        <v>1</v>
      </c>
      <c r="R179" s="4" t="str">
        <f t="shared" si="8"/>
        <v>Not Eligible</v>
      </c>
      <c r="S179" s="4" t="str">
        <f t="shared" si="9"/>
        <v>False</v>
      </c>
    </row>
    <row r="180" ht="15.75" hidden="1" customHeight="1">
      <c r="A180" s="13" t="s">
        <v>333</v>
      </c>
      <c r="B180" s="13" t="s">
        <v>304</v>
      </c>
      <c r="C180" s="13" t="s">
        <v>334</v>
      </c>
      <c r="D180" s="13" t="s">
        <v>29</v>
      </c>
      <c r="E180" s="13" t="s">
        <v>30</v>
      </c>
      <c r="F180" s="14">
        <v>70.0</v>
      </c>
      <c r="G180" s="15">
        <v>36741.0</v>
      </c>
      <c r="H180" s="15">
        <v>45510.0</v>
      </c>
      <c r="I180" s="10">
        <v>4357.0</v>
      </c>
      <c r="J180" s="13" t="str">
        <f t="shared" si="1"/>
        <v>Pass</v>
      </c>
      <c r="K180" s="13" t="str">
        <f t="array" ref="K180">IFS(F180&gt;=90,"Excellent",F180&gt;=70,"Good",F180&gt;=50,"Average",F180&lt;50,"Poor")</f>
        <v>Good</v>
      </c>
      <c r="L180" s="13" t="str">
        <f t="shared" si="2"/>
        <v>Fin</v>
      </c>
      <c r="M180" s="13" t="str">
        <f t="shared" si="3"/>
        <v>Tyler Navarro</v>
      </c>
      <c r="N180" s="13">
        <f t="shared" si="4"/>
        <v>6</v>
      </c>
      <c r="O180" s="13">
        <f t="shared" si="5"/>
        <v>25</v>
      </c>
      <c r="P180" s="13" t="str">
        <f t="shared" si="6"/>
        <v>August</v>
      </c>
      <c r="Q180" s="13">
        <f t="shared" si="7"/>
        <v>1</v>
      </c>
      <c r="R180" s="13" t="str">
        <f t="shared" si="8"/>
        <v>Not Eligible</v>
      </c>
      <c r="S180" s="13" t="str">
        <f t="shared" si="9"/>
        <v>False</v>
      </c>
    </row>
    <row r="181" ht="15.75" hidden="1" customHeight="1">
      <c r="A181" s="13" t="s">
        <v>416</v>
      </c>
      <c r="B181" s="13" t="s">
        <v>417</v>
      </c>
      <c r="C181" s="13" t="s">
        <v>418</v>
      </c>
      <c r="D181" s="13" t="s">
        <v>24</v>
      </c>
      <c r="E181" s="13" t="s">
        <v>207</v>
      </c>
      <c r="F181" s="14">
        <v>74.0</v>
      </c>
      <c r="G181" s="15">
        <v>31944.0</v>
      </c>
      <c r="H181" s="15">
        <v>45517.0</v>
      </c>
      <c r="I181" s="10">
        <v>3946.0</v>
      </c>
      <c r="J181" s="13" t="str">
        <f t="shared" si="1"/>
        <v>Pass</v>
      </c>
      <c r="K181" s="13" t="str">
        <f t="array" ref="K181">IFS(F181&gt;=90,"Excellent",F181&gt;=70,"Good",F181&gt;=50,"Average",F181&lt;50,"Poor")</f>
        <v>Good</v>
      </c>
      <c r="L181" s="13" t="str">
        <f t="shared" si="2"/>
        <v>IT</v>
      </c>
      <c r="M181" s="13" t="str">
        <f t="shared" si="3"/>
        <v>Gina Murphy</v>
      </c>
      <c r="N181" s="13">
        <f t="shared" si="4"/>
        <v>6</v>
      </c>
      <c r="O181" s="13">
        <f t="shared" si="5"/>
        <v>38</v>
      </c>
      <c r="P181" s="13" t="str">
        <f t="shared" si="6"/>
        <v>August</v>
      </c>
      <c r="Q181" s="13">
        <f t="shared" si="7"/>
        <v>1</v>
      </c>
      <c r="R181" s="13" t="str">
        <f t="shared" si="8"/>
        <v>Not Eligible</v>
      </c>
      <c r="S181" s="13" t="str">
        <f t="shared" si="9"/>
        <v>False</v>
      </c>
    </row>
    <row r="182" ht="15.75" hidden="1" customHeight="1">
      <c r="A182" s="13" t="s">
        <v>480</v>
      </c>
      <c r="B182" s="13" t="s">
        <v>481</v>
      </c>
      <c r="C182" s="13" t="s">
        <v>317</v>
      </c>
      <c r="D182" s="13" t="s">
        <v>46</v>
      </c>
      <c r="E182" s="13" t="s">
        <v>217</v>
      </c>
      <c r="F182" s="14">
        <v>67.0</v>
      </c>
      <c r="G182" s="15">
        <v>33797.0</v>
      </c>
      <c r="H182" s="15">
        <v>45524.0</v>
      </c>
      <c r="I182" s="10">
        <v>5880.0</v>
      </c>
      <c r="J182" s="13" t="str">
        <f t="shared" si="1"/>
        <v>Pass</v>
      </c>
      <c r="K182" s="13" t="str">
        <f t="array" ref="K182">IFS(F182&gt;=90,"Excellent",F182&gt;=70,"Good",F182&gt;=50,"Average",F182&lt;50,"Poor")</f>
        <v>Average</v>
      </c>
      <c r="L182" s="13" t="str">
        <f t="shared" si="2"/>
        <v>Sal</v>
      </c>
      <c r="M182" s="13" t="str">
        <f t="shared" si="3"/>
        <v>Isaac Martinez</v>
      </c>
      <c r="N182" s="13">
        <f t="shared" si="4"/>
        <v>6</v>
      </c>
      <c r="O182" s="13">
        <f t="shared" si="5"/>
        <v>33</v>
      </c>
      <c r="P182" s="13" t="str">
        <f t="shared" si="6"/>
        <v>August</v>
      </c>
      <c r="Q182" s="13">
        <f t="shared" si="7"/>
        <v>1</v>
      </c>
      <c r="R182" s="13" t="str">
        <f t="shared" si="8"/>
        <v>Not Eligible</v>
      </c>
      <c r="S182" s="13" t="str">
        <f t="shared" si="9"/>
        <v>True</v>
      </c>
    </row>
    <row r="183" ht="15.75" hidden="1" customHeight="1">
      <c r="A183" s="13" t="s">
        <v>516</v>
      </c>
      <c r="B183" s="13" t="s">
        <v>517</v>
      </c>
      <c r="C183" s="13" t="s">
        <v>518</v>
      </c>
      <c r="D183" s="13" t="s">
        <v>75</v>
      </c>
      <c r="E183" s="13" t="s">
        <v>85</v>
      </c>
      <c r="F183" s="14">
        <v>44.0</v>
      </c>
      <c r="G183" s="15">
        <v>37407.0</v>
      </c>
      <c r="H183" s="15">
        <v>45546.0</v>
      </c>
      <c r="I183" s="10">
        <v>9285.0</v>
      </c>
      <c r="J183" s="13" t="str">
        <f t="shared" si="1"/>
        <v>Fail</v>
      </c>
      <c r="K183" s="13" t="str">
        <f t="array" ref="K183">IFS(F183&gt;=90,"Excellent",F183&gt;=70,"Good",F183&gt;=50,"Average",F183&lt;50,"Poor")</f>
        <v>Poor</v>
      </c>
      <c r="L183" s="13" t="str">
        <f t="shared" si="2"/>
        <v>Mar</v>
      </c>
      <c r="M183" s="13" t="str">
        <f t="shared" si="3"/>
        <v>Desiree Camacho</v>
      </c>
      <c r="N183" s="13">
        <f t="shared" si="4"/>
        <v>6</v>
      </c>
      <c r="O183" s="13">
        <f t="shared" si="5"/>
        <v>23</v>
      </c>
      <c r="P183" s="13" t="str">
        <f t="shared" si="6"/>
        <v>September</v>
      </c>
      <c r="Q183" s="13">
        <f t="shared" si="7"/>
        <v>1</v>
      </c>
      <c r="R183" s="13" t="str">
        <f t="shared" si="8"/>
        <v>Not Eligible</v>
      </c>
      <c r="S183" s="13" t="str">
        <f t="shared" si="9"/>
        <v>False</v>
      </c>
    </row>
    <row r="184" ht="15.75" hidden="1" customHeight="1">
      <c r="A184" s="13" t="s">
        <v>26</v>
      </c>
      <c r="B184" s="13" t="s">
        <v>27</v>
      </c>
      <c r="C184" s="13" t="s">
        <v>28</v>
      </c>
      <c r="D184" s="13" t="s">
        <v>29</v>
      </c>
      <c r="E184" s="13" t="s">
        <v>30</v>
      </c>
      <c r="F184" s="14">
        <v>93.0</v>
      </c>
      <c r="G184" s="15">
        <v>32359.0</v>
      </c>
      <c r="H184" s="15">
        <v>45552.0</v>
      </c>
      <c r="I184" s="10">
        <v>5982.0</v>
      </c>
      <c r="J184" s="13" t="str">
        <f t="shared" si="1"/>
        <v>Pass</v>
      </c>
      <c r="K184" s="13" t="str">
        <f t="array" ref="K184">IFS(F184&gt;=90,"Excellent",F184&gt;=70,"Good",F184&gt;=50,"Average",F184&lt;50,"Poor")</f>
        <v>Excellent</v>
      </c>
      <c r="L184" s="13" t="str">
        <f t="shared" si="2"/>
        <v>Fin</v>
      </c>
      <c r="M184" s="13" t="str">
        <f t="shared" si="3"/>
        <v>Adam Henry</v>
      </c>
      <c r="N184" s="13">
        <f t="shared" si="4"/>
        <v>6</v>
      </c>
      <c r="O184" s="13">
        <f t="shared" si="5"/>
        <v>37</v>
      </c>
      <c r="P184" s="13" t="str">
        <f t="shared" si="6"/>
        <v>September</v>
      </c>
      <c r="Q184" s="13">
        <f t="shared" si="7"/>
        <v>1</v>
      </c>
      <c r="R184" s="13" t="str">
        <f t="shared" si="8"/>
        <v>Not Eligible</v>
      </c>
      <c r="S184" s="13" t="str">
        <f t="shared" si="9"/>
        <v>False</v>
      </c>
    </row>
    <row r="185" ht="15.75" hidden="1" customHeight="1">
      <c r="A185" s="13" t="s">
        <v>157</v>
      </c>
      <c r="B185" s="13" t="s">
        <v>158</v>
      </c>
      <c r="C185" s="13" t="s">
        <v>159</v>
      </c>
      <c r="D185" s="13" t="s">
        <v>29</v>
      </c>
      <c r="E185" s="13" t="s">
        <v>30</v>
      </c>
      <c r="F185" s="14">
        <v>78.0</v>
      </c>
      <c r="G185" s="15">
        <v>32130.0</v>
      </c>
      <c r="H185" s="15">
        <v>45557.0</v>
      </c>
      <c r="I185" s="10">
        <v>7201.0</v>
      </c>
      <c r="J185" s="13" t="str">
        <f t="shared" si="1"/>
        <v>Pass</v>
      </c>
      <c r="K185" s="13" t="str">
        <f t="array" ref="K185">IFS(F185&gt;=90,"Excellent",F185&gt;=70,"Good",F185&gt;=50,"Average",F185&lt;50,"Poor")</f>
        <v>Good</v>
      </c>
      <c r="L185" s="13" t="str">
        <f t="shared" si="2"/>
        <v>Fin</v>
      </c>
      <c r="M185" s="13" t="str">
        <f t="shared" si="3"/>
        <v>Ian Schaefer</v>
      </c>
      <c r="N185" s="13">
        <f t="shared" si="4"/>
        <v>6</v>
      </c>
      <c r="O185" s="13">
        <f t="shared" si="5"/>
        <v>37</v>
      </c>
      <c r="P185" s="13" t="str">
        <f t="shared" si="6"/>
        <v>September</v>
      </c>
      <c r="Q185" s="13">
        <f t="shared" si="7"/>
        <v>1</v>
      </c>
      <c r="R185" s="13" t="str">
        <f t="shared" si="8"/>
        <v>Not Eligible</v>
      </c>
      <c r="S185" s="13" t="str">
        <f t="shared" si="9"/>
        <v>False</v>
      </c>
    </row>
    <row r="186" ht="15.75" hidden="1" customHeight="1">
      <c r="A186" s="13" t="s">
        <v>511</v>
      </c>
      <c r="B186" s="13" t="s">
        <v>512</v>
      </c>
      <c r="C186" s="13" t="s">
        <v>513</v>
      </c>
      <c r="D186" s="13" t="s">
        <v>46</v>
      </c>
      <c r="E186" s="13" t="s">
        <v>53</v>
      </c>
      <c r="F186" s="14">
        <v>83.0</v>
      </c>
      <c r="G186" s="15">
        <v>33082.0</v>
      </c>
      <c r="H186" s="15">
        <v>45568.0</v>
      </c>
      <c r="I186" s="10">
        <v>3926.0</v>
      </c>
      <c r="J186" s="13" t="str">
        <f t="shared" si="1"/>
        <v>Pass</v>
      </c>
      <c r="K186" s="13" t="str">
        <f t="array" ref="K186">IFS(F186&gt;=90,"Excellent",F186&gt;=70,"Good",F186&gt;=50,"Average",F186&lt;50,"Poor")</f>
        <v>Good</v>
      </c>
      <c r="L186" s="13" t="str">
        <f t="shared" si="2"/>
        <v>Sal</v>
      </c>
      <c r="M186" s="13" t="str">
        <f t="shared" si="3"/>
        <v>Chad Nguyen</v>
      </c>
      <c r="N186" s="13">
        <f t="shared" si="4"/>
        <v>6</v>
      </c>
      <c r="O186" s="13">
        <f t="shared" si="5"/>
        <v>35</v>
      </c>
      <c r="P186" s="13" t="str">
        <f t="shared" si="6"/>
        <v>October</v>
      </c>
      <c r="Q186" s="13">
        <f t="shared" si="7"/>
        <v>1</v>
      </c>
      <c r="R186" s="13" t="str">
        <f t="shared" si="8"/>
        <v>Not Eligible</v>
      </c>
      <c r="S186" s="13" t="str">
        <f t="shared" si="9"/>
        <v>True</v>
      </c>
    </row>
    <row r="187" ht="15.75" hidden="1" customHeight="1">
      <c r="A187" s="13" t="s">
        <v>233</v>
      </c>
      <c r="B187" s="13" t="s">
        <v>234</v>
      </c>
      <c r="C187" s="13" t="s">
        <v>235</v>
      </c>
      <c r="D187" s="13" t="s">
        <v>75</v>
      </c>
      <c r="E187" s="13" t="s">
        <v>85</v>
      </c>
      <c r="F187" s="14">
        <v>47.0</v>
      </c>
      <c r="G187" s="15">
        <v>38004.0</v>
      </c>
      <c r="H187" s="15">
        <v>45611.0</v>
      </c>
      <c r="I187" s="10">
        <v>8876.0</v>
      </c>
      <c r="J187" s="13" t="str">
        <f t="shared" si="1"/>
        <v>Fail</v>
      </c>
      <c r="K187" s="13" t="str">
        <f t="array" ref="K187">IFS(F187&gt;=90,"Excellent",F187&gt;=70,"Good",F187&gt;=50,"Average",F187&lt;50,"Poor")</f>
        <v>Poor</v>
      </c>
      <c r="L187" s="13" t="str">
        <f t="shared" si="2"/>
        <v>Mar</v>
      </c>
      <c r="M187" s="13" t="str">
        <f t="shared" si="3"/>
        <v>Robert Jones</v>
      </c>
      <c r="N187" s="13">
        <f t="shared" si="4"/>
        <v>6</v>
      </c>
      <c r="O187" s="13">
        <f t="shared" si="5"/>
        <v>21</v>
      </c>
      <c r="P187" s="13" t="str">
        <f t="shared" si="6"/>
        <v>November</v>
      </c>
      <c r="Q187" s="13">
        <f t="shared" si="7"/>
        <v>0</v>
      </c>
      <c r="R187" s="13" t="str">
        <f t="shared" si="8"/>
        <v>Not Eligible</v>
      </c>
      <c r="S187" s="13" t="str">
        <f t="shared" si="9"/>
        <v>False</v>
      </c>
    </row>
    <row r="188" ht="15.75" hidden="1" customHeight="1">
      <c r="A188" s="13" t="s">
        <v>299</v>
      </c>
      <c r="B188" s="13" t="s">
        <v>300</v>
      </c>
      <c r="C188" s="13" t="s">
        <v>210</v>
      </c>
      <c r="D188" s="13" t="s">
        <v>24</v>
      </c>
      <c r="E188" s="13" t="s">
        <v>25</v>
      </c>
      <c r="F188" s="14">
        <v>83.0</v>
      </c>
      <c r="G188" s="15">
        <v>31697.0</v>
      </c>
      <c r="H188" s="15">
        <v>45642.0</v>
      </c>
      <c r="I188" s="10">
        <v>8549.0</v>
      </c>
      <c r="J188" s="13" t="str">
        <f t="shared" si="1"/>
        <v>Pass</v>
      </c>
      <c r="K188" s="13" t="str">
        <f t="array" ref="K188">IFS(F188&gt;=90,"Excellent",F188&gt;=70,"Good",F188&gt;=50,"Average",F188&lt;50,"Poor")</f>
        <v>Good</v>
      </c>
      <c r="L188" s="13" t="str">
        <f t="shared" si="2"/>
        <v>IT</v>
      </c>
      <c r="M188" s="13" t="str">
        <f t="shared" si="3"/>
        <v>Shelly Moore</v>
      </c>
      <c r="N188" s="13">
        <f t="shared" si="4"/>
        <v>6</v>
      </c>
      <c r="O188" s="13">
        <f t="shared" si="5"/>
        <v>39</v>
      </c>
      <c r="P188" s="13" t="str">
        <f t="shared" si="6"/>
        <v>December</v>
      </c>
      <c r="Q188" s="13">
        <f t="shared" si="7"/>
        <v>0</v>
      </c>
      <c r="R188" s="13" t="str">
        <f t="shared" si="8"/>
        <v>Not Eligible</v>
      </c>
      <c r="S188" s="13" t="str">
        <f t="shared" si="9"/>
        <v>False</v>
      </c>
    </row>
    <row r="189" ht="15.75" customHeight="1">
      <c r="A189" s="4" t="s">
        <v>171</v>
      </c>
      <c r="B189" s="4" t="s">
        <v>172</v>
      </c>
      <c r="C189" s="4" t="s">
        <v>173</v>
      </c>
      <c r="D189" s="4" t="s">
        <v>75</v>
      </c>
      <c r="E189" s="4" t="s">
        <v>76</v>
      </c>
      <c r="F189" s="5">
        <v>96.0</v>
      </c>
      <c r="G189" s="6">
        <v>33362.0</v>
      </c>
      <c r="H189" s="16">
        <v>45664.0</v>
      </c>
      <c r="I189" s="17">
        <v>9486.0</v>
      </c>
      <c r="J189" s="4" t="str">
        <f t="shared" si="1"/>
        <v>Pass</v>
      </c>
      <c r="K189" s="4" t="str">
        <f t="array" ref="K189">IFS(F189&gt;=90,"Excellent",F189&gt;=70,"Good",F189&gt;=50,"Average",F189&lt;50,"Poor")</f>
        <v>Excellent</v>
      </c>
      <c r="L189" s="4" t="str">
        <f t="shared" si="2"/>
        <v>Mar</v>
      </c>
      <c r="M189" s="4" t="str">
        <f t="shared" si="3"/>
        <v>Rachel Blake</v>
      </c>
      <c r="N189" s="4">
        <f t="shared" si="4"/>
        <v>6</v>
      </c>
      <c r="O189" s="4">
        <f t="shared" si="5"/>
        <v>34</v>
      </c>
      <c r="P189" s="4" t="str">
        <f t="shared" si="6"/>
        <v>January</v>
      </c>
      <c r="Q189" s="4">
        <f t="shared" si="7"/>
        <v>0</v>
      </c>
      <c r="R189" s="4" t="str">
        <f t="shared" si="8"/>
        <v>Not Eligible</v>
      </c>
      <c r="S189" s="4" t="str">
        <f t="shared" si="9"/>
        <v>False</v>
      </c>
    </row>
    <row r="190" ht="15.75" hidden="1" customHeight="1">
      <c r="A190" s="13" t="s">
        <v>100</v>
      </c>
      <c r="B190" s="13" t="s">
        <v>101</v>
      </c>
      <c r="C190" s="13" t="s">
        <v>42</v>
      </c>
      <c r="D190" s="13" t="s">
        <v>29</v>
      </c>
      <c r="E190" s="13" t="s">
        <v>39</v>
      </c>
      <c r="F190" s="14">
        <v>65.0</v>
      </c>
      <c r="G190" s="15">
        <v>37609.0</v>
      </c>
      <c r="H190" s="15">
        <v>45676.0</v>
      </c>
      <c r="I190" s="10">
        <v>8284.0</v>
      </c>
      <c r="J190" s="13" t="str">
        <f t="shared" si="1"/>
        <v>Pass</v>
      </c>
      <c r="K190" s="13" t="str">
        <f t="array" ref="K190">IFS(F190&gt;=90,"Excellent",F190&gt;=70,"Good",F190&gt;=50,"Average",F190&lt;50,"Poor")</f>
        <v>Average</v>
      </c>
      <c r="L190" s="13" t="str">
        <f t="shared" si="2"/>
        <v>Fin</v>
      </c>
      <c r="M190" s="13" t="str">
        <f t="shared" si="3"/>
        <v>Robin Collins</v>
      </c>
      <c r="N190" s="13">
        <f t="shared" si="4"/>
        <v>6</v>
      </c>
      <c r="O190" s="13">
        <f t="shared" si="5"/>
        <v>22</v>
      </c>
      <c r="P190" s="13" t="str">
        <f t="shared" si="6"/>
        <v>January</v>
      </c>
      <c r="Q190" s="13">
        <f t="shared" si="7"/>
        <v>0</v>
      </c>
      <c r="R190" s="13" t="str">
        <f t="shared" si="8"/>
        <v>Not Eligible</v>
      </c>
      <c r="S190" s="13" t="str">
        <f t="shared" si="9"/>
        <v>False</v>
      </c>
    </row>
    <row r="191" ht="15.75" hidden="1" customHeight="1">
      <c r="A191" s="13" t="s">
        <v>102</v>
      </c>
      <c r="B191" s="13" t="s">
        <v>103</v>
      </c>
      <c r="C191" s="13" t="s">
        <v>104</v>
      </c>
      <c r="D191" s="13" t="s">
        <v>34</v>
      </c>
      <c r="E191" s="13" t="s">
        <v>35</v>
      </c>
      <c r="F191" s="14">
        <v>89.0</v>
      </c>
      <c r="G191" s="15">
        <v>37400.0</v>
      </c>
      <c r="H191" s="15">
        <v>45705.0</v>
      </c>
      <c r="I191" s="10">
        <v>6249.0</v>
      </c>
      <c r="J191" s="13" t="str">
        <f t="shared" si="1"/>
        <v>Pass</v>
      </c>
      <c r="K191" s="13" t="str">
        <f t="array" ref="K191">IFS(F191&gt;=90,"Excellent",F191&gt;=70,"Good",F191&gt;=50,"Average",F191&lt;50,"Poor")</f>
        <v>Good</v>
      </c>
      <c r="L191" s="13" t="str">
        <f t="shared" si="2"/>
        <v>HR</v>
      </c>
      <c r="M191" s="13" t="str">
        <f t="shared" si="3"/>
        <v>Stephanie Simmons</v>
      </c>
      <c r="N191" s="13">
        <f t="shared" si="4"/>
        <v>6</v>
      </c>
      <c r="O191" s="13">
        <f t="shared" si="5"/>
        <v>23</v>
      </c>
      <c r="P191" s="13" t="str">
        <f t="shared" si="6"/>
        <v>February</v>
      </c>
      <c r="Q191" s="13">
        <f t="shared" si="7"/>
        <v>0</v>
      </c>
      <c r="R191" s="13" t="str">
        <f t="shared" si="8"/>
        <v>Not Eligible</v>
      </c>
      <c r="S191" s="13" t="str">
        <f t="shared" si="9"/>
        <v>True</v>
      </c>
    </row>
    <row r="192" ht="15.75" hidden="1" customHeight="1">
      <c r="A192" s="13" t="s">
        <v>374</v>
      </c>
      <c r="B192" s="13" t="s">
        <v>141</v>
      </c>
      <c r="C192" s="13" t="s">
        <v>375</v>
      </c>
      <c r="D192" s="13" t="s">
        <v>34</v>
      </c>
      <c r="E192" s="13" t="s">
        <v>35</v>
      </c>
      <c r="F192" s="14">
        <v>86.0</v>
      </c>
      <c r="G192" s="15">
        <v>31604.0</v>
      </c>
      <c r="H192" s="15">
        <v>45715.0</v>
      </c>
      <c r="I192" s="10">
        <v>3812.0</v>
      </c>
      <c r="J192" s="13" t="str">
        <f t="shared" si="1"/>
        <v>Pass</v>
      </c>
      <c r="K192" s="13" t="str">
        <f t="array" ref="K192">IFS(F192&gt;=90,"Excellent",F192&gt;=70,"Good",F192&gt;=50,"Average",F192&lt;50,"Poor")</f>
        <v>Good</v>
      </c>
      <c r="L192" s="13" t="str">
        <f t="shared" si="2"/>
        <v>HR</v>
      </c>
      <c r="M192" s="13" t="str">
        <f t="shared" si="3"/>
        <v>Megan Osborne</v>
      </c>
      <c r="N192" s="13">
        <f t="shared" si="4"/>
        <v>6</v>
      </c>
      <c r="O192" s="13">
        <f t="shared" si="5"/>
        <v>39</v>
      </c>
      <c r="P192" s="13" t="str">
        <f t="shared" si="6"/>
        <v>February</v>
      </c>
      <c r="Q192" s="13">
        <f t="shared" si="7"/>
        <v>0</v>
      </c>
      <c r="R192" s="13" t="str">
        <f t="shared" si="8"/>
        <v>Not Eligible</v>
      </c>
      <c r="S192" s="13" t="str">
        <f t="shared" si="9"/>
        <v>True</v>
      </c>
    </row>
    <row r="193" ht="15.75" hidden="1" customHeight="1">
      <c r="A193" s="13" t="s">
        <v>208</v>
      </c>
      <c r="B193" s="13" t="s">
        <v>209</v>
      </c>
      <c r="C193" s="13" t="s">
        <v>210</v>
      </c>
      <c r="D193" s="13" t="s">
        <v>24</v>
      </c>
      <c r="E193" s="13" t="s">
        <v>25</v>
      </c>
      <c r="F193" s="14">
        <v>42.0</v>
      </c>
      <c r="G193" s="15">
        <v>36981.0</v>
      </c>
      <c r="H193" s="15">
        <v>45745.0</v>
      </c>
      <c r="I193" s="10">
        <v>4608.0</v>
      </c>
      <c r="J193" s="13" t="str">
        <f t="shared" si="1"/>
        <v>Fail</v>
      </c>
      <c r="K193" s="13" t="str">
        <f t="array" ref="K193">IFS(F193&gt;=90,"Excellent",F193&gt;=70,"Good",F193&gt;=50,"Average",F193&lt;50,"Poor")</f>
        <v>Poor</v>
      </c>
      <c r="L193" s="13" t="str">
        <f t="shared" si="2"/>
        <v>IT</v>
      </c>
      <c r="M193" s="13" t="str">
        <f t="shared" si="3"/>
        <v>Amy Moore</v>
      </c>
      <c r="N193" s="13">
        <f t="shared" si="4"/>
        <v>6</v>
      </c>
      <c r="O193" s="13">
        <f t="shared" si="5"/>
        <v>24</v>
      </c>
      <c r="P193" s="13" t="str">
        <f t="shared" si="6"/>
        <v>March</v>
      </c>
      <c r="Q193" s="13">
        <f t="shared" si="7"/>
        <v>0</v>
      </c>
      <c r="R193" s="13" t="str">
        <f t="shared" si="8"/>
        <v>Not Eligible</v>
      </c>
      <c r="S193" s="13" t="str">
        <f t="shared" si="9"/>
        <v>False</v>
      </c>
    </row>
    <row r="194" ht="15.75" hidden="1" customHeight="1">
      <c r="A194" s="13" t="s">
        <v>419</v>
      </c>
      <c r="B194" s="13" t="s">
        <v>138</v>
      </c>
      <c r="C194" s="13" t="s">
        <v>210</v>
      </c>
      <c r="D194" s="13" t="s">
        <v>29</v>
      </c>
      <c r="E194" s="13" t="s">
        <v>30</v>
      </c>
      <c r="F194" s="14">
        <v>70.0</v>
      </c>
      <c r="G194" s="15">
        <v>32122.0</v>
      </c>
      <c r="H194" s="15">
        <v>45751.0</v>
      </c>
      <c r="I194" s="10">
        <v>8300.0</v>
      </c>
      <c r="J194" s="13" t="str">
        <f t="shared" si="1"/>
        <v>Pass</v>
      </c>
      <c r="K194" s="13" t="str">
        <f t="array" ref="K194">IFS(F194&gt;=90,"Excellent",F194&gt;=70,"Good",F194&gt;=50,"Average",F194&lt;50,"Poor")</f>
        <v>Good</v>
      </c>
      <c r="L194" s="13" t="str">
        <f t="shared" si="2"/>
        <v>Fin</v>
      </c>
      <c r="M194" s="13" t="str">
        <f t="shared" si="3"/>
        <v>Jeffrey Moore</v>
      </c>
      <c r="N194" s="13">
        <f t="shared" si="4"/>
        <v>6</v>
      </c>
      <c r="O194" s="13">
        <f t="shared" si="5"/>
        <v>37</v>
      </c>
      <c r="P194" s="13" t="str">
        <f t="shared" si="6"/>
        <v>April</v>
      </c>
      <c r="Q194" s="13">
        <f t="shared" si="7"/>
        <v>0</v>
      </c>
      <c r="R194" s="13" t="str">
        <f t="shared" si="8"/>
        <v>Not Eligible</v>
      </c>
      <c r="S194" s="13" t="str">
        <f t="shared" si="9"/>
        <v>False</v>
      </c>
    </row>
    <row r="195" ht="15.75" customHeight="1">
      <c r="A195" s="4" t="s">
        <v>93</v>
      </c>
      <c r="B195" s="4" t="s">
        <v>94</v>
      </c>
      <c r="C195" s="4" t="s">
        <v>52</v>
      </c>
      <c r="D195" s="4" t="s">
        <v>75</v>
      </c>
      <c r="E195" s="4" t="s">
        <v>85</v>
      </c>
      <c r="F195" s="5">
        <v>98.0</v>
      </c>
      <c r="G195" s="6">
        <v>33797.0</v>
      </c>
      <c r="H195" s="16">
        <v>45769.0</v>
      </c>
      <c r="I195" s="17">
        <v>8913.0</v>
      </c>
      <c r="J195" s="4" t="str">
        <f t="shared" si="1"/>
        <v>Pass</v>
      </c>
      <c r="K195" s="4" t="str">
        <f t="array" ref="K195">IFS(F195&gt;=90,"Excellent",F195&gt;=70,"Good",F195&gt;=50,"Average",F195&lt;50,"Poor")</f>
        <v>Excellent</v>
      </c>
      <c r="L195" s="4" t="str">
        <f t="shared" si="2"/>
        <v>Mar</v>
      </c>
      <c r="M195" s="4" t="str">
        <f t="shared" si="3"/>
        <v>Jimmy Kelly</v>
      </c>
      <c r="N195" s="4">
        <f t="shared" si="4"/>
        <v>6</v>
      </c>
      <c r="O195" s="4">
        <f t="shared" si="5"/>
        <v>33</v>
      </c>
      <c r="P195" s="4" t="str">
        <f t="shared" si="6"/>
        <v>April</v>
      </c>
      <c r="Q195" s="4">
        <f t="shared" si="7"/>
        <v>0</v>
      </c>
      <c r="R195" s="4" t="str">
        <f t="shared" si="8"/>
        <v>Not Eligible</v>
      </c>
      <c r="S195" s="4" t="str">
        <f t="shared" si="9"/>
        <v>False</v>
      </c>
    </row>
    <row r="196" ht="15.75" hidden="1" customHeight="1">
      <c r="A196" s="13" t="s">
        <v>120</v>
      </c>
      <c r="B196" s="13" t="s">
        <v>121</v>
      </c>
      <c r="C196" s="13" t="s">
        <v>122</v>
      </c>
      <c r="D196" s="13" t="s">
        <v>46</v>
      </c>
      <c r="E196" s="13" t="s">
        <v>53</v>
      </c>
      <c r="F196" s="14">
        <v>71.0</v>
      </c>
      <c r="G196" s="15">
        <v>32876.0</v>
      </c>
      <c r="H196" s="15">
        <v>45788.0</v>
      </c>
      <c r="I196" s="10">
        <v>7186.0</v>
      </c>
      <c r="J196" s="13" t="str">
        <f t="shared" si="1"/>
        <v>Pass</v>
      </c>
      <c r="K196" s="13" t="str">
        <f t="array" ref="K196">IFS(F196&gt;=90,"Excellent",F196&gt;=70,"Good",F196&gt;=50,"Average",F196&lt;50,"Poor")</f>
        <v>Good</v>
      </c>
      <c r="L196" s="13" t="str">
        <f t="shared" si="2"/>
        <v>Sal</v>
      </c>
      <c r="M196" s="13" t="str">
        <f t="shared" si="3"/>
        <v>Paul Farrell</v>
      </c>
      <c r="N196" s="13">
        <f t="shared" si="4"/>
        <v>6</v>
      </c>
      <c r="O196" s="13">
        <f t="shared" si="5"/>
        <v>35</v>
      </c>
      <c r="P196" s="13" t="str">
        <f t="shared" si="6"/>
        <v>May</v>
      </c>
      <c r="Q196" s="13">
        <f t="shared" si="7"/>
        <v>0</v>
      </c>
      <c r="R196" s="13" t="str">
        <f t="shared" si="8"/>
        <v>Not Eligible</v>
      </c>
      <c r="S196" s="13" t="str">
        <f t="shared" si="9"/>
        <v>True</v>
      </c>
    </row>
    <row r="197" ht="15.75" hidden="1" customHeight="1">
      <c r="A197" s="13" t="s">
        <v>290</v>
      </c>
      <c r="B197" s="13" t="s">
        <v>101</v>
      </c>
      <c r="C197" s="13" t="s">
        <v>153</v>
      </c>
      <c r="D197" s="13" t="s">
        <v>29</v>
      </c>
      <c r="E197" s="13" t="s">
        <v>39</v>
      </c>
      <c r="F197" s="14">
        <v>92.0</v>
      </c>
      <c r="G197" s="15">
        <v>35375.0</v>
      </c>
      <c r="H197" s="15">
        <v>45800.0</v>
      </c>
      <c r="I197" s="10">
        <v>5067.0</v>
      </c>
      <c r="J197" s="13" t="str">
        <f t="shared" si="1"/>
        <v>Pass</v>
      </c>
      <c r="K197" s="13" t="str">
        <f t="array" ref="K197">IFS(F197&gt;=90,"Excellent",F197&gt;=70,"Good",F197&gt;=50,"Average",F197&lt;50,"Poor")</f>
        <v>Excellent</v>
      </c>
      <c r="L197" s="13" t="str">
        <f t="shared" si="2"/>
        <v>Fin</v>
      </c>
      <c r="M197" s="13" t="str">
        <f t="shared" si="3"/>
        <v>Robin Young</v>
      </c>
      <c r="N197" s="13">
        <f t="shared" si="4"/>
        <v>6</v>
      </c>
      <c r="O197" s="13">
        <f t="shared" si="5"/>
        <v>28</v>
      </c>
      <c r="P197" s="13" t="str">
        <f t="shared" si="6"/>
        <v>May</v>
      </c>
      <c r="Q197" s="13">
        <f t="shared" si="7"/>
        <v>0</v>
      </c>
      <c r="R197" s="13" t="str">
        <f t="shared" si="8"/>
        <v>Not Eligible</v>
      </c>
      <c r="S197" s="13" t="str">
        <f t="shared" si="9"/>
        <v>False</v>
      </c>
    </row>
    <row r="198" ht="15.75" hidden="1" customHeight="1">
      <c r="A198" s="13" t="s">
        <v>303</v>
      </c>
      <c r="B198" s="13" t="s">
        <v>304</v>
      </c>
      <c r="C198" s="13" t="s">
        <v>305</v>
      </c>
      <c r="D198" s="13" t="s">
        <v>75</v>
      </c>
      <c r="E198" s="13" t="s">
        <v>85</v>
      </c>
      <c r="F198" s="14">
        <v>76.0</v>
      </c>
      <c r="G198" s="15">
        <v>31425.0</v>
      </c>
      <c r="H198" s="15">
        <v>45888.0</v>
      </c>
      <c r="I198" s="10">
        <v>5822.0</v>
      </c>
      <c r="J198" s="13" t="str">
        <f t="shared" si="1"/>
        <v>Pass</v>
      </c>
      <c r="K198" s="13" t="str">
        <f t="array" ref="K198">IFS(F198&gt;=90,"Excellent",F198&gt;=70,"Good",F198&gt;=50,"Average",F198&lt;50,"Poor")</f>
        <v>Good</v>
      </c>
      <c r="L198" s="13" t="str">
        <f t="shared" si="2"/>
        <v>Mar</v>
      </c>
      <c r="M198" s="13" t="str">
        <f t="shared" si="3"/>
        <v>Tyler Ball</v>
      </c>
      <c r="N198" s="13">
        <f t="shared" si="4"/>
        <v>6</v>
      </c>
      <c r="O198" s="13">
        <f t="shared" si="5"/>
        <v>39</v>
      </c>
      <c r="P198" s="13" t="str">
        <f t="shared" si="6"/>
        <v>August</v>
      </c>
      <c r="Q198" s="13">
        <f t="shared" si="7"/>
        <v>0</v>
      </c>
      <c r="R198" s="13" t="str">
        <f t="shared" si="8"/>
        <v>Not Eligible</v>
      </c>
      <c r="S198" s="13" t="str">
        <f t="shared" si="9"/>
        <v>False</v>
      </c>
    </row>
    <row r="199" ht="15.75" hidden="1" customHeight="1">
      <c r="A199" s="13" t="s">
        <v>365</v>
      </c>
      <c r="B199" s="13" t="s">
        <v>366</v>
      </c>
      <c r="C199" s="13" t="s">
        <v>200</v>
      </c>
      <c r="D199" s="13" t="s">
        <v>34</v>
      </c>
      <c r="E199" s="13" t="s">
        <v>35</v>
      </c>
      <c r="F199" s="14">
        <v>79.0</v>
      </c>
      <c r="G199" s="15">
        <v>34073.0</v>
      </c>
      <c r="H199" s="15">
        <v>45905.0</v>
      </c>
      <c r="I199" s="10">
        <v>3442.0</v>
      </c>
      <c r="J199" s="13" t="str">
        <f t="shared" si="1"/>
        <v>Pass</v>
      </c>
      <c r="K199" s="13" t="str">
        <f t="array" ref="K199">IFS(F199&gt;=90,"Excellent",F199&gt;=70,"Good",F199&gt;=50,"Average",F199&lt;50,"Poor")</f>
        <v>Good</v>
      </c>
      <c r="L199" s="13" t="str">
        <f t="shared" si="2"/>
        <v>HR</v>
      </c>
      <c r="M199" s="13" t="str">
        <f t="shared" si="3"/>
        <v>Deborah Phillips</v>
      </c>
      <c r="N199" s="13">
        <f t="shared" si="4"/>
        <v>6</v>
      </c>
      <c r="O199" s="13">
        <f t="shared" si="5"/>
        <v>32</v>
      </c>
      <c r="P199" s="13" t="str">
        <f t="shared" si="6"/>
        <v>September</v>
      </c>
      <c r="Q199" s="13">
        <f t="shared" si="7"/>
        <v>0</v>
      </c>
      <c r="R199" s="13" t="str">
        <f t="shared" si="8"/>
        <v>Not Eligible</v>
      </c>
      <c r="S199" s="13" t="str">
        <f t="shared" si="9"/>
        <v>True</v>
      </c>
    </row>
    <row r="200" ht="15.75" hidden="1" customHeight="1">
      <c r="A200" s="13" t="s">
        <v>140</v>
      </c>
      <c r="B200" s="13" t="s">
        <v>141</v>
      </c>
      <c r="C200" s="13" t="s">
        <v>142</v>
      </c>
      <c r="D200" s="13" t="s">
        <v>24</v>
      </c>
      <c r="E200" s="13" t="s">
        <v>25</v>
      </c>
      <c r="F200" s="14">
        <v>83.0</v>
      </c>
      <c r="G200" s="15">
        <v>35682.0</v>
      </c>
      <c r="H200" s="15">
        <v>45945.0</v>
      </c>
      <c r="I200" s="10">
        <v>5705.0</v>
      </c>
      <c r="J200" s="13" t="str">
        <f t="shared" si="1"/>
        <v>Pass</v>
      </c>
      <c r="K200" s="13" t="str">
        <f t="array" ref="K200">IFS(F200&gt;=90,"Excellent",F200&gt;=70,"Good",F200&gt;=50,"Average",F200&lt;50,"Poor")</f>
        <v>Good</v>
      </c>
      <c r="L200" s="13" t="str">
        <f t="shared" si="2"/>
        <v>IT</v>
      </c>
      <c r="M200" s="13" t="str">
        <f t="shared" si="3"/>
        <v>Megan Stewart</v>
      </c>
      <c r="N200" s="13">
        <f t="shared" si="4"/>
        <v>6</v>
      </c>
      <c r="O200" s="13">
        <f t="shared" si="5"/>
        <v>28</v>
      </c>
      <c r="P200" s="13" t="str">
        <f t="shared" si="6"/>
        <v>October</v>
      </c>
      <c r="Q200" s="13">
        <f t="shared" si="7"/>
        <v>0</v>
      </c>
      <c r="R200" s="13" t="str">
        <f t="shared" si="8"/>
        <v>Not Eligible</v>
      </c>
      <c r="S200" s="13" t="str">
        <f t="shared" si="9"/>
        <v>False</v>
      </c>
    </row>
    <row r="201" ht="15.75" hidden="1" customHeight="1">
      <c r="A201" s="13" t="s">
        <v>430</v>
      </c>
      <c r="B201" s="13" t="s">
        <v>431</v>
      </c>
      <c r="C201" s="13" t="s">
        <v>432</v>
      </c>
      <c r="D201" s="13" t="s">
        <v>75</v>
      </c>
      <c r="E201" s="13" t="s">
        <v>85</v>
      </c>
      <c r="F201" s="14">
        <v>40.0</v>
      </c>
      <c r="G201" s="15">
        <v>33864.0</v>
      </c>
      <c r="H201" s="15">
        <v>45946.0</v>
      </c>
      <c r="I201" s="10">
        <v>7269.0</v>
      </c>
      <c r="J201" s="13" t="str">
        <f t="shared" si="1"/>
        <v>Fail</v>
      </c>
      <c r="K201" s="13" t="str">
        <f t="array" ref="K201">IFS(F201&gt;=90,"Excellent",F201&gt;=70,"Good",F201&gt;=50,"Average",F201&lt;50,"Poor")</f>
        <v>Poor</v>
      </c>
      <c r="L201" s="13" t="str">
        <f t="shared" si="2"/>
        <v>Mar</v>
      </c>
      <c r="M201" s="13" t="str">
        <f t="shared" si="3"/>
        <v>Holly Thompson</v>
      </c>
      <c r="N201" s="13">
        <f t="shared" si="4"/>
        <v>6</v>
      </c>
      <c r="O201" s="13">
        <f t="shared" si="5"/>
        <v>33</v>
      </c>
      <c r="P201" s="13" t="str">
        <f t="shared" si="6"/>
        <v>October</v>
      </c>
      <c r="Q201" s="13">
        <f t="shared" si="7"/>
        <v>0</v>
      </c>
      <c r="R201" s="13" t="str">
        <f t="shared" si="8"/>
        <v>Not Eligible</v>
      </c>
      <c r="S201" s="13" t="str">
        <f t="shared" si="9"/>
        <v>False</v>
      </c>
    </row>
    <row r="202" ht="15.75" customHeight="1">
      <c r="I202" s="18"/>
    </row>
    <row r="203" ht="15.75" customHeight="1">
      <c r="I203" s="18"/>
    </row>
    <row r="204" ht="15.75" customHeight="1">
      <c r="I204" s="18"/>
    </row>
    <row r="205" ht="15.75" customHeight="1">
      <c r="I205" s="18"/>
    </row>
    <row r="206" ht="15.75" customHeight="1">
      <c r="I206" s="18"/>
    </row>
    <row r="207" ht="15.75" customHeight="1">
      <c r="I207" s="18"/>
    </row>
    <row r="208" ht="15.75" customHeight="1">
      <c r="I208" s="18"/>
    </row>
    <row r="209" ht="15.75" customHeight="1">
      <c r="I209" s="18"/>
    </row>
    <row r="210" ht="15.75" customHeight="1">
      <c r="I210" s="18"/>
    </row>
    <row r="211" ht="15.75" customHeight="1">
      <c r="I211" s="18"/>
    </row>
    <row r="212" ht="15.75" customHeight="1">
      <c r="I212" s="18"/>
    </row>
    <row r="213" ht="15.75" customHeight="1">
      <c r="I213" s="18"/>
    </row>
    <row r="214" ht="15.75" customHeight="1">
      <c r="I214" s="18"/>
    </row>
    <row r="215" ht="15.75" customHeight="1">
      <c r="I215" s="18"/>
    </row>
    <row r="216" ht="15.75" customHeight="1">
      <c r="I216" s="18"/>
    </row>
    <row r="217" ht="15.75" customHeight="1">
      <c r="I217" s="18"/>
    </row>
    <row r="218" ht="15.75" customHeight="1">
      <c r="I218" s="18"/>
    </row>
    <row r="219" ht="15.75" customHeight="1">
      <c r="I219" s="18"/>
    </row>
    <row r="220" ht="15.75" customHeight="1">
      <c r="I220" s="18"/>
    </row>
    <row r="221" ht="15.75" customHeight="1">
      <c r="I221" s="18"/>
    </row>
    <row r="222" ht="15.75" customHeight="1">
      <c r="I222" s="18"/>
    </row>
    <row r="223" ht="15.75" customHeight="1">
      <c r="I223" s="18"/>
    </row>
    <row r="224" ht="15.75" customHeight="1">
      <c r="I224" s="18"/>
    </row>
    <row r="225" ht="15.75" customHeight="1">
      <c r="I225" s="18"/>
    </row>
    <row r="226" ht="15.75" customHeight="1">
      <c r="I226" s="18"/>
    </row>
    <row r="227" ht="15.75" customHeight="1">
      <c r="I227" s="18"/>
    </row>
    <row r="228" ht="15.75" customHeight="1">
      <c r="I228" s="18"/>
    </row>
    <row r="229" ht="15.75" customHeight="1">
      <c r="I229" s="18"/>
    </row>
    <row r="230" ht="15.75" customHeight="1">
      <c r="I230" s="18"/>
    </row>
    <row r="231" ht="15.75" customHeight="1">
      <c r="I231" s="18"/>
    </row>
    <row r="232" ht="15.75" customHeight="1">
      <c r="I232" s="18"/>
    </row>
    <row r="233" ht="15.75" customHeight="1">
      <c r="I233" s="18"/>
    </row>
    <row r="234" ht="15.75" customHeight="1">
      <c r="I234" s="18"/>
    </row>
    <row r="235" ht="15.75" customHeight="1">
      <c r="I235" s="18"/>
    </row>
    <row r="236" ht="15.75" customHeight="1">
      <c r="I236" s="18"/>
    </row>
    <row r="237" ht="15.75" customHeight="1">
      <c r="I237" s="18"/>
    </row>
    <row r="238" ht="15.75" customHeight="1">
      <c r="I238" s="18"/>
    </row>
    <row r="239" ht="15.75" customHeight="1">
      <c r="I239" s="18"/>
    </row>
    <row r="240" ht="15.75" customHeight="1">
      <c r="I240" s="18"/>
    </row>
    <row r="241" ht="15.75" customHeight="1">
      <c r="I241" s="18"/>
    </row>
    <row r="242" ht="15.75" customHeight="1">
      <c r="I242" s="18"/>
    </row>
    <row r="243" ht="15.75" customHeight="1">
      <c r="I243" s="18"/>
    </row>
    <row r="244" ht="15.75" customHeight="1">
      <c r="I244" s="18"/>
    </row>
    <row r="245" ht="15.75" customHeight="1">
      <c r="I245" s="18"/>
    </row>
    <row r="246" ht="15.75" customHeight="1">
      <c r="I246" s="18"/>
    </row>
    <row r="247" ht="15.75" customHeight="1">
      <c r="I247" s="18"/>
    </row>
    <row r="248" ht="15.75" customHeight="1">
      <c r="I248" s="18"/>
    </row>
    <row r="249" ht="15.75" customHeight="1">
      <c r="I249" s="18"/>
    </row>
    <row r="250" ht="15.75" customHeight="1">
      <c r="I250" s="18"/>
    </row>
    <row r="251" ht="15.75" customHeight="1">
      <c r="I251" s="18"/>
    </row>
    <row r="252" ht="15.75" customHeight="1">
      <c r="I252" s="18"/>
    </row>
    <row r="253" ht="15.75" customHeight="1">
      <c r="I253" s="18"/>
    </row>
    <row r="254" ht="15.75" customHeight="1">
      <c r="I254" s="18"/>
    </row>
    <row r="255" ht="15.75" customHeight="1">
      <c r="I255" s="18"/>
    </row>
    <row r="256" ht="15.75" customHeight="1">
      <c r="I256" s="18"/>
    </row>
    <row r="257" ht="15.75" customHeight="1">
      <c r="I257" s="18"/>
    </row>
    <row r="258" ht="15.75" customHeight="1">
      <c r="I258" s="18"/>
    </row>
    <row r="259" ht="15.75" customHeight="1">
      <c r="I259" s="18"/>
    </row>
    <row r="260" ht="15.75" customHeight="1">
      <c r="I260" s="18"/>
    </row>
    <row r="261" ht="15.75" customHeight="1">
      <c r="I261" s="18"/>
    </row>
    <row r="262" ht="15.75" customHeight="1">
      <c r="I262" s="18"/>
    </row>
    <row r="263" ht="15.75" customHeight="1">
      <c r="I263" s="18"/>
    </row>
    <row r="264" ht="15.75" customHeight="1">
      <c r="I264" s="18"/>
    </row>
    <row r="265" ht="15.75" customHeight="1">
      <c r="I265" s="18"/>
    </row>
    <row r="266" ht="15.75" customHeight="1">
      <c r="I266" s="18"/>
    </row>
    <row r="267" ht="15.75" customHeight="1">
      <c r="I267" s="18"/>
    </row>
    <row r="268" ht="15.75" customHeight="1">
      <c r="I268" s="18"/>
    </row>
    <row r="269" ht="15.75" customHeight="1">
      <c r="I269" s="18"/>
    </row>
    <row r="270" ht="15.75" customHeight="1">
      <c r="I270" s="18"/>
    </row>
    <row r="271" ht="15.75" customHeight="1">
      <c r="I271" s="18"/>
    </row>
    <row r="272" ht="15.75" customHeight="1">
      <c r="I272" s="18"/>
    </row>
    <row r="273" ht="15.75" customHeight="1">
      <c r="I273" s="18"/>
    </row>
    <row r="274" ht="15.75" customHeight="1">
      <c r="I274" s="18"/>
    </row>
    <row r="275" ht="15.75" customHeight="1">
      <c r="I275" s="18"/>
    </row>
    <row r="276" ht="15.75" customHeight="1">
      <c r="I276" s="18"/>
    </row>
    <row r="277" ht="15.75" customHeight="1">
      <c r="I277" s="18"/>
    </row>
    <row r="278" ht="15.75" customHeight="1">
      <c r="I278" s="18"/>
    </row>
    <row r="279" ht="15.75" customHeight="1">
      <c r="I279" s="18"/>
    </row>
    <row r="280" ht="15.75" customHeight="1">
      <c r="I280" s="18"/>
    </row>
    <row r="281" ht="15.75" customHeight="1">
      <c r="I281" s="18"/>
    </row>
    <row r="282" ht="15.75" customHeight="1">
      <c r="I282" s="18"/>
    </row>
    <row r="283" ht="15.75" customHeight="1">
      <c r="I283" s="18"/>
    </row>
    <row r="284" ht="15.75" customHeight="1">
      <c r="I284" s="18"/>
    </row>
    <row r="285" ht="15.75" customHeight="1">
      <c r="I285" s="18"/>
    </row>
    <row r="286" ht="15.75" customHeight="1">
      <c r="I286" s="18"/>
    </row>
    <row r="287" ht="15.75" customHeight="1">
      <c r="I287" s="18"/>
    </row>
    <row r="288" ht="15.75" customHeight="1">
      <c r="I288" s="18"/>
    </row>
    <row r="289" ht="15.75" customHeight="1">
      <c r="I289" s="18"/>
    </row>
    <row r="290" ht="15.75" customHeight="1">
      <c r="I290" s="18"/>
    </row>
    <row r="291" ht="15.75" customHeight="1">
      <c r="I291" s="18"/>
    </row>
    <row r="292" ht="15.75" customHeight="1">
      <c r="I292" s="18"/>
    </row>
    <row r="293" ht="15.75" customHeight="1">
      <c r="I293" s="18"/>
    </row>
    <row r="294" ht="15.75" customHeight="1">
      <c r="I294" s="18"/>
    </row>
    <row r="295" ht="15.75" customHeight="1">
      <c r="I295" s="18"/>
    </row>
    <row r="296" ht="15.75" customHeight="1">
      <c r="I296" s="18"/>
    </row>
    <row r="297" ht="15.75" customHeight="1">
      <c r="I297" s="18"/>
    </row>
    <row r="298" ht="15.75" customHeight="1">
      <c r="I298" s="18"/>
    </row>
    <row r="299" ht="15.75" customHeight="1">
      <c r="I299" s="18"/>
    </row>
    <row r="300" ht="15.75" customHeight="1">
      <c r="I300" s="18"/>
    </row>
    <row r="301" ht="15.75" customHeight="1">
      <c r="I301" s="18"/>
    </row>
    <row r="302" ht="15.75" customHeight="1">
      <c r="I302" s="18"/>
    </row>
    <row r="303" ht="15.75" customHeight="1">
      <c r="I303" s="18"/>
    </row>
    <row r="304" ht="15.75" customHeight="1">
      <c r="I304" s="18"/>
    </row>
    <row r="305" ht="15.75" customHeight="1">
      <c r="I305" s="18"/>
    </row>
    <row r="306" ht="15.75" customHeight="1">
      <c r="I306" s="18"/>
    </row>
    <row r="307" ht="15.75" customHeight="1">
      <c r="I307" s="18"/>
    </row>
    <row r="308" ht="15.75" customHeight="1">
      <c r="I308" s="18"/>
    </row>
    <row r="309" ht="15.75" customHeight="1">
      <c r="I309" s="18"/>
    </row>
    <row r="310" ht="15.75" customHeight="1">
      <c r="I310" s="18"/>
    </row>
    <row r="311" ht="15.75" customHeight="1">
      <c r="I311" s="18"/>
    </row>
    <row r="312" ht="15.75" customHeight="1">
      <c r="I312" s="18"/>
    </row>
    <row r="313" ht="15.75" customHeight="1">
      <c r="I313" s="18"/>
    </row>
    <row r="314" ht="15.75" customHeight="1">
      <c r="I314" s="18"/>
    </row>
    <row r="315" ht="15.75" customHeight="1">
      <c r="I315" s="18"/>
    </row>
    <row r="316" ht="15.75" customHeight="1">
      <c r="I316" s="18"/>
    </row>
    <row r="317" ht="15.75" customHeight="1">
      <c r="I317" s="18"/>
    </row>
    <row r="318" ht="15.75" customHeight="1">
      <c r="I318" s="18"/>
    </row>
    <row r="319" ht="15.75" customHeight="1">
      <c r="I319" s="18"/>
    </row>
    <row r="320" ht="15.75" customHeight="1">
      <c r="I320" s="18"/>
    </row>
    <row r="321" ht="15.75" customHeight="1">
      <c r="I321" s="18"/>
    </row>
    <row r="322" ht="15.75" customHeight="1">
      <c r="I322" s="18"/>
    </row>
    <row r="323" ht="15.75" customHeight="1">
      <c r="I323" s="18"/>
    </row>
    <row r="324" ht="15.75" customHeight="1">
      <c r="I324" s="18"/>
    </row>
    <row r="325" ht="15.75" customHeight="1">
      <c r="I325" s="18"/>
    </row>
    <row r="326" ht="15.75" customHeight="1">
      <c r="I326" s="18"/>
    </row>
    <row r="327" ht="15.75" customHeight="1">
      <c r="I327" s="18"/>
    </row>
    <row r="328" ht="15.75" customHeight="1">
      <c r="I328" s="18"/>
    </row>
    <row r="329" ht="15.75" customHeight="1">
      <c r="I329" s="18"/>
    </row>
    <row r="330" ht="15.75" customHeight="1">
      <c r="I330" s="18"/>
    </row>
    <row r="331" ht="15.75" customHeight="1">
      <c r="I331" s="18"/>
    </row>
    <row r="332" ht="15.75" customHeight="1">
      <c r="I332" s="18"/>
    </row>
    <row r="333" ht="15.75" customHeight="1">
      <c r="I333" s="18"/>
    </row>
    <row r="334" ht="15.75" customHeight="1">
      <c r="I334" s="18"/>
    </row>
    <row r="335" ht="15.75" customHeight="1">
      <c r="I335" s="18"/>
    </row>
    <row r="336" ht="15.75" customHeight="1">
      <c r="I336" s="18"/>
    </row>
    <row r="337" ht="15.75" customHeight="1">
      <c r="I337" s="18"/>
    </row>
    <row r="338" ht="15.75" customHeight="1">
      <c r="I338" s="18"/>
    </row>
    <row r="339" ht="15.75" customHeight="1">
      <c r="I339" s="18"/>
    </row>
    <row r="340" ht="15.75" customHeight="1">
      <c r="I340" s="18"/>
    </row>
    <row r="341" ht="15.75" customHeight="1">
      <c r="I341" s="18"/>
    </row>
    <row r="342" ht="15.75" customHeight="1">
      <c r="I342" s="18"/>
    </row>
    <row r="343" ht="15.75" customHeight="1">
      <c r="I343" s="18"/>
    </row>
    <row r="344" ht="15.75" customHeight="1">
      <c r="I344" s="18"/>
    </row>
    <row r="345" ht="15.75" customHeight="1">
      <c r="I345" s="18"/>
    </row>
    <row r="346" ht="15.75" customHeight="1">
      <c r="I346" s="18"/>
    </row>
    <row r="347" ht="15.75" customHeight="1">
      <c r="I347" s="18"/>
    </row>
    <row r="348" ht="15.75" customHeight="1">
      <c r="I348" s="18"/>
    </row>
    <row r="349" ht="15.75" customHeight="1">
      <c r="I349" s="18"/>
    </row>
    <row r="350" ht="15.75" customHeight="1">
      <c r="I350" s="18"/>
    </row>
    <row r="351" ht="15.75" customHeight="1">
      <c r="I351" s="18"/>
    </row>
    <row r="352" ht="15.75" customHeight="1">
      <c r="I352" s="18"/>
    </row>
    <row r="353" ht="15.75" customHeight="1">
      <c r="I353" s="18"/>
    </row>
    <row r="354" ht="15.75" customHeight="1">
      <c r="I354" s="18"/>
    </row>
    <row r="355" ht="15.75" customHeight="1">
      <c r="I355" s="18"/>
    </row>
    <row r="356" ht="15.75" customHeight="1">
      <c r="I356" s="18"/>
    </row>
    <row r="357" ht="15.75" customHeight="1">
      <c r="I357" s="18"/>
    </row>
    <row r="358" ht="15.75" customHeight="1">
      <c r="I358" s="18"/>
    </row>
    <row r="359" ht="15.75" customHeight="1">
      <c r="I359" s="18"/>
    </row>
    <row r="360" ht="15.75" customHeight="1">
      <c r="I360" s="18"/>
    </row>
    <row r="361" ht="15.75" customHeight="1">
      <c r="I361" s="18"/>
    </row>
    <row r="362" ht="15.75" customHeight="1">
      <c r="I362" s="18"/>
    </row>
    <row r="363" ht="15.75" customHeight="1">
      <c r="I363" s="18"/>
    </row>
    <row r="364" ht="15.75" customHeight="1">
      <c r="I364" s="18"/>
    </row>
    <row r="365" ht="15.75" customHeight="1">
      <c r="I365" s="18"/>
    </row>
    <row r="366" ht="15.75" customHeight="1">
      <c r="I366" s="18"/>
    </row>
    <row r="367" ht="15.75" customHeight="1">
      <c r="I367" s="18"/>
    </row>
    <row r="368" ht="15.75" customHeight="1">
      <c r="I368" s="18"/>
    </row>
    <row r="369" ht="15.75" customHeight="1">
      <c r="I369" s="18"/>
    </row>
    <row r="370" ht="15.75" customHeight="1">
      <c r="I370" s="18"/>
    </row>
    <row r="371" ht="15.75" customHeight="1">
      <c r="I371" s="18"/>
    </row>
    <row r="372" ht="15.75" customHeight="1">
      <c r="I372" s="18"/>
    </row>
    <row r="373" ht="15.75" customHeight="1">
      <c r="I373" s="18"/>
    </row>
    <row r="374" ht="15.75" customHeight="1">
      <c r="I374" s="18"/>
    </row>
    <row r="375" ht="15.75" customHeight="1">
      <c r="I375" s="18"/>
    </row>
    <row r="376" ht="15.75" customHeight="1">
      <c r="I376" s="18"/>
    </row>
    <row r="377" ht="15.75" customHeight="1">
      <c r="I377" s="18"/>
    </row>
    <row r="378" ht="15.75" customHeight="1">
      <c r="I378" s="18"/>
    </row>
    <row r="379" ht="15.75" customHeight="1">
      <c r="I379" s="18"/>
    </row>
    <row r="380" ht="15.75" customHeight="1">
      <c r="I380" s="18"/>
    </row>
    <row r="381" ht="15.75" customHeight="1">
      <c r="I381" s="18"/>
    </row>
    <row r="382" ht="15.75" customHeight="1">
      <c r="I382" s="18"/>
    </row>
    <row r="383" ht="15.75" customHeight="1">
      <c r="I383" s="18"/>
    </row>
    <row r="384" ht="15.75" customHeight="1">
      <c r="I384" s="18"/>
    </row>
    <row r="385" ht="15.75" customHeight="1">
      <c r="I385" s="18"/>
    </row>
    <row r="386" ht="15.75" customHeight="1">
      <c r="I386" s="18"/>
    </row>
    <row r="387" ht="15.75" customHeight="1">
      <c r="I387" s="18"/>
    </row>
    <row r="388" ht="15.75" customHeight="1">
      <c r="I388" s="18"/>
    </row>
    <row r="389" ht="15.75" customHeight="1">
      <c r="I389" s="18"/>
    </row>
    <row r="390" ht="15.75" customHeight="1">
      <c r="I390" s="18"/>
    </row>
    <row r="391" ht="15.75" customHeight="1">
      <c r="I391" s="18"/>
    </row>
    <row r="392" ht="15.75" customHeight="1">
      <c r="I392" s="18"/>
    </row>
    <row r="393" ht="15.75" customHeight="1">
      <c r="I393" s="18"/>
    </row>
    <row r="394" ht="15.75" customHeight="1">
      <c r="I394" s="18"/>
    </row>
    <row r="395" ht="15.75" customHeight="1">
      <c r="I395" s="18"/>
    </row>
    <row r="396" ht="15.75" customHeight="1">
      <c r="I396" s="18"/>
    </row>
    <row r="397" ht="15.75" customHeight="1">
      <c r="I397" s="18"/>
    </row>
    <row r="398" ht="15.75" customHeight="1">
      <c r="I398" s="18"/>
    </row>
    <row r="399" ht="15.75" customHeight="1">
      <c r="I399" s="18"/>
    </row>
    <row r="400" ht="15.75" customHeight="1">
      <c r="I400" s="18"/>
    </row>
    <row r="401" ht="15.75" customHeight="1">
      <c r="I401" s="18"/>
    </row>
    <row r="402" ht="15.75" customHeight="1">
      <c r="I402" s="18"/>
    </row>
    <row r="403" ht="15.75" customHeight="1">
      <c r="I403" s="18"/>
    </row>
    <row r="404" ht="15.75" customHeight="1">
      <c r="I404" s="18"/>
    </row>
    <row r="405" ht="15.75" customHeight="1">
      <c r="I405" s="18"/>
    </row>
    <row r="406" ht="15.75" customHeight="1">
      <c r="I406" s="18"/>
    </row>
    <row r="407" ht="15.75" customHeight="1">
      <c r="I407" s="18"/>
    </row>
    <row r="408" ht="15.75" customHeight="1">
      <c r="I408" s="18"/>
    </row>
    <row r="409" ht="15.75" customHeight="1">
      <c r="I409" s="18"/>
    </row>
    <row r="410" ht="15.75" customHeight="1">
      <c r="I410" s="18"/>
    </row>
    <row r="411" ht="15.75" customHeight="1">
      <c r="I411" s="18"/>
    </row>
    <row r="412" ht="15.75" customHeight="1">
      <c r="I412" s="18"/>
    </row>
    <row r="413" ht="15.75" customHeight="1">
      <c r="I413" s="18"/>
    </row>
    <row r="414" ht="15.75" customHeight="1">
      <c r="I414" s="18"/>
    </row>
    <row r="415" ht="15.75" customHeight="1">
      <c r="I415" s="18"/>
    </row>
    <row r="416" ht="15.75" customHeight="1">
      <c r="I416" s="18"/>
    </row>
    <row r="417" ht="15.75" customHeight="1">
      <c r="I417" s="18"/>
    </row>
    <row r="418" ht="15.75" customHeight="1">
      <c r="I418" s="18"/>
    </row>
    <row r="419" ht="15.75" customHeight="1">
      <c r="I419" s="18"/>
    </row>
    <row r="420" ht="15.75" customHeight="1">
      <c r="I420" s="18"/>
    </row>
    <row r="421" ht="15.75" customHeight="1">
      <c r="I421" s="18"/>
    </row>
    <row r="422" ht="15.75" customHeight="1">
      <c r="I422" s="18"/>
    </row>
    <row r="423" ht="15.75" customHeight="1">
      <c r="I423" s="18"/>
    </row>
    <row r="424" ht="15.75" customHeight="1">
      <c r="I424" s="18"/>
    </row>
    <row r="425" ht="15.75" customHeight="1">
      <c r="I425" s="18"/>
    </row>
    <row r="426" ht="15.75" customHeight="1">
      <c r="I426" s="18"/>
    </row>
    <row r="427" ht="15.75" customHeight="1">
      <c r="I427" s="18"/>
    </row>
    <row r="428" ht="15.75" customHeight="1">
      <c r="I428" s="18"/>
    </row>
    <row r="429" ht="15.75" customHeight="1">
      <c r="I429" s="18"/>
    </row>
    <row r="430" ht="15.75" customHeight="1">
      <c r="I430" s="18"/>
    </row>
    <row r="431" ht="15.75" customHeight="1">
      <c r="I431" s="18"/>
    </row>
    <row r="432" ht="15.75" customHeight="1">
      <c r="I432" s="18"/>
    </row>
    <row r="433" ht="15.75" customHeight="1">
      <c r="I433" s="18"/>
    </row>
    <row r="434" ht="15.75" customHeight="1">
      <c r="I434" s="18"/>
    </row>
    <row r="435" ht="15.75" customHeight="1">
      <c r="I435" s="18"/>
    </row>
    <row r="436" ht="15.75" customHeight="1">
      <c r="I436" s="18"/>
    </row>
    <row r="437" ht="15.75" customHeight="1">
      <c r="I437" s="18"/>
    </row>
    <row r="438" ht="15.75" customHeight="1">
      <c r="I438" s="18"/>
    </row>
    <row r="439" ht="15.75" customHeight="1">
      <c r="I439" s="18"/>
    </row>
    <row r="440" ht="15.75" customHeight="1">
      <c r="I440" s="18"/>
    </row>
    <row r="441" ht="15.75" customHeight="1">
      <c r="I441" s="18"/>
    </row>
    <row r="442" ht="15.75" customHeight="1">
      <c r="I442" s="18"/>
    </row>
    <row r="443" ht="15.75" customHeight="1">
      <c r="I443" s="18"/>
    </row>
    <row r="444" ht="15.75" customHeight="1">
      <c r="I444" s="18"/>
    </row>
    <row r="445" ht="15.75" customHeight="1">
      <c r="I445" s="18"/>
    </row>
    <row r="446" ht="15.75" customHeight="1">
      <c r="I446" s="18"/>
    </row>
    <row r="447" ht="15.75" customHeight="1">
      <c r="I447" s="18"/>
    </row>
    <row r="448" ht="15.75" customHeight="1">
      <c r="I448" s="18"/>
    </row>
    <row r="449" ht="15.75" customHeight="1">
      <c r="I449" s="18"/>
    </row>
    <row r="450" ht="15.75" customHeight="1">
      <c r="I450" s="18"/>
    </row>
    <row r="451" ht="15.75" customHeight="1">
      <c r="I451" s="18"/>
    </row>
    <row r="452" ht="15.75" customHeight="1">
      <c r="I452" s="18"/>
    </row>
    <row r="453" ht="15.75" customHeight="1">
      <c r="I453" s="18"/>
    </row>
    <row r="454" ht="15.75" customHeight="1">
      <c r="I454" s="18"/>
    </row>
    <row r="455" ht="15.75" customHeight="1">
      <c r="I455" s="18"/>
    </row>
    <row r="456" ht="15.75" customHeight="1">
      <c r="I456" s="18"/>
    </row>
    <row r="457" ht="15.75" customHeight="1">
      <c r="I457" s="18"/>
    </row>
    <row r="458" ht="15.75" customHeight="1">
      <c r="I458" s="18"/>
    </row>
    <row r="459" ht="15.75" customHeight="1">
      <c r="I459" s="18"/>
    </row>
    <row r="460" ht="15.75" customHeight="1">
      <c r="I460" s="18"/>
    </row>
    <row r="461" ht="15.75" customHeight="1">
      <c r="I461" s="18"/>
    </row>
    <row r="462" ht="15.75" customHeight="1">
      <c r="I462" s="18"/>
    </row>
    <row r="463" ht="15.75" customHeight="1">
      <c r="I463" s="18"/>
    </row>
    <row r="464" ht="15.75" customHeight="1">
      <c r="I464" s="18"/>
    </row>
    <row r="465" ht="15.75" customHeight="1">
      <c r="I465" s="18"/>
    </row>
    <row r="466" ht="15.75" customHeight="1">
      <c r="I466" s="18"/>
    </row>
    <row r="467" ht="15.75" customHeight="1">
      <c r="I467" s="18"/>
    </row>
    <row r="468" ht="15.75" customHeight="1">
      <c r="I468" s="18"/>
    </row>
    <row r="469" ht="15.75" customHeight="1">
      <c r="I469" s="18"/>
    </row>
    <row r="470" ht="15.75" customHeight="1">
      <c r="I470" s="18"/>
    </row>
    <row r="471" ht="15.75" customHeight="1">
      <c r="I471" s="18"/>
    </row>
    <row r="472" ht="15.75" customHeight="1">
      <c r="I472" s="18"/>
    </row>
    <row r="473" ht="15.75" customHeight="1">
      <c r="I473" s="18"/>
    </row>
    <row r="474" ht="15.75" customHeight="1">
      <c r="I474" s="18"/>
    </row>
    <row r="475" ht="15.75" customHeight="1">
      <c r="I475" s="18"/>
    </row>
    <row r="476" ht="15.75" customHeight="1">
      <c r="I476" s="18"/>
    </row>
    <row r="477" ht="15.75" customHeight="1">
      <c r="I477" s="18"/>
    </row>
    <row r="478" ht="15.75" customHeight="1">
      <c r="I478" s="18"/>
    </row>
    <row r="479" ht="15.75" customHeight="1">
      <c r="I479" s="18"/>
    </row>
    <row r="480" ht="15.75" customHeight="1">
      <c r="I480" s="18"/>
    </row>
    <row r="481" ht="15.75" customHeight="1">
      <c r="I481" s="18"/>
    </row>
    <row r="482" ht="15.75" customHeight="1">
      <c r="I482" s="18"/>
    </row>
    <row r="483" ht="15.75" customHeight="1">
      <c r="I483" s="18"/>
    </row>
    <row r="484" ht="15.75" customHeight="1">
      <c r="I484" s="18"/>
    </row>
    <row r="485" ht="15.75" customHeight="1">
      <c r="I485" s="18"/>
    </row>
    <row r="486" ht="15.75" customHeight="1">
      <c r="I486" s="18"/>
    </row>
    <row r="487" ht="15.75" customHeight="1">
      <c r="I487" s="18"/>
    </row>
    <row r="488" ht="15.75" customHeight="1">
      <c r="I488" s="18"/>
    </row>
    <row r="489" ht="15.75" customHeight="1">
      <c r="I489" s="18"/>
    </row>
    <row r="490" ht="15.75" customHeight="1">
      <c r="I490" s="18"/>
    </row>
    <row r="491" ht="15.75" customHeight="1">
      <c r="I491" s="18"/>
    </row>
    <row r="492" ht="15.75" customHeight="1">
      <c r="I492" s="18"/>
    </row>
    <row r="493" ht="15.75" customHeight="1">
      <c r="I493" s="18"/>
    </row>
    <row r="494" ht="15.75" customHeight="1">
      <c r="I494" s="18"/>
    </row>
    <row r="495" ht="15.75" customHeight="1">
      <c r="I495" s="18"/>
    </row>
    <row r="496" ht="15.75" customHeight="1">
      <c r="I496" s="18"/>
    </row>
    <row r="497" ht="15.75" customHeight="1">
      <c r="I497" s="18"/>
    </row>
    <row r="498" ht="15.75" customHeight="1">
      <c r="I498" s="18"/>
    </row>
    <row r="499" ht="15.75" customHeight="1">
      <c r="I499" s="18"/>
    </row>
    <row r="500" ht="15.75" customHeight="1">
      <c r="I500" s="18"/>
    </row>
    <row r="501" ht="15.75" customHeight="1">
      <c r="I501" s="18"/>
    </row>
    <row r="502" ht="15.75" customHeight="1">
      <c r="I502" s="18"/>
    </row>
    <row r="503" ht="15.75" customHeight="1">
      <c r="I503" s="18"/>
    </row>
    <row r="504" ht="15.75" customHeight="1">
      <c r="I504" s="18"/>
    </row>
    <row r="505" ht="15.75" customHeight="1">
      <c r="I505" s="18"/>
    </row>
    <row r="506" ht="15.75" customHeight="1">
      <c r="I506" s="18"/>
    </row>
    <row r="507" ht="15.75" customHeight="1">
      <c r="I507" s="18"/>
    </row>
    <row r="508" ht="15.75" customHeight="1">
      <c r="I508" s="18"/>
    </row>
    <row r="509" ht="15.75" customHeight="1">
      <c r="I509" s="18"/>
    </row>
    <row r="510" ht="15.75" customHeight="1">
      <c r="I510" s="18"/>
    </row>
    <row r="511" ht="15.75" customHeight="1">
      <c r="I511" s="18"/>
    </row>
    <row r="512" ht="15.75" customHeight="1">
      <c r="I512" s="18"/>
    </row>
    <row r="513" ht="15.75" customHeight="1">
      <c r="I513" s="18"/>
    </row>
    <row r="514" ht="15.75" customHeight="1">
      <c r="I514" s="18"/>
    </row>
    <row r="515" ht="15.75" customHeight="1">
      <c r="I515" s="18"/>
    </row>
    <row r="516" ht="15.75" customHeight="1">
      <c r="I516" s="18"/>
    </row>
    <row r="517" ht="15.75" customHeight="1">
      <c r="I517" s="18"/>
    </row>
    <row r="518" ht="15.75" customHeight="1">
      <c r="I518" s="18"/>
    </row>
    <row r="519" ht="15.75" customHeight="1">
      <c r="I519" s="18"/>
    </row>
    <row r="520" ht="15.75" customHeight="1">
      <c r="I520" s="18"/>
    </row>
    <row r="521" ht="15.75" customHeight="1">
      <c r="I521" s="18"/>
    </row>
    <row r="522" ht="15.75" customHeight="1">
      <c r="I522" s="18"/>
    </row>
    <row r="523" ht="15.75" customHeight="1">
      <c r="I523" s="18"/>
    </row>
    <row r="524" ht="15.75" customHeight="1">
      <c r="I524" s="18"/>
    </row>
    <row r="525" ht="15.75" customHeight="1">
      <c r="I525" s="18"/>
    </row>
    <row r="526" ht="15.75" customHeight="1">
      <c r="I526" s="18"/>
    </row>
    <row r="527" ht="15.75" customHeight="1">
      <c r="I527" s="18"/>
    </row>
    <row r="528" ht="15.75" customHeight="1">
      <c r="I528" s="18"/>
    </row>
    <row r="529" ht="15.75" customHeight="1">
      <c r="I529" s="18"/>
    </row>
    <row r="530" ht="15.75" customHeight="1">
      <c r="I530" s="18"/>
    </row>
    <row r="531" ht="15.75" customHeight="1">
      <c r="I531" s="18"/>
    </row>
    <row r="532" ht="15.75" customHeight="1">
      <c r="I532" s="18"/>
    </row>
    <row r="533" ht="15.75" customHeight="1">
      <c r="I533" s="18"/>
    </row>
    <row r="534" ht="15.75" customHeight="1">
      <c r="I534" s="18"/>
    </row>
    <row r="535" ht="15.75" customHeight="1">
      <c r="I535" s="18"/>
    </row>
    <row r="536" ht="15.75" customHeight="1">
      <c r="I536" s="18"/>
    </row>
    <row r="537" ht="15.75" customHeight="1">
      <c r="I537" s="18"/>
    </row>
    <row r="538" ht="15.75" customHeight="1">
      <c r="I538" s="18"/>
    </row>
    <row r="539" ht="15.75" customHeight="1">
      <c r="I539" s="18"/>
    </row>
    <row r="540" ht="15.75" customHeight="1">
      <c r="I540" s="18"/>
    </row>
    <row r="541" ht="15.75" customHeight="1">
      <c r="I541" s="18"/>
    </row>
    <row r="542" ht="15.75" customHeight="1">
      <c r="I542" s="18"/>
    </row>
    <row r="543" ht="15.75" customHeight="1">
      <c r="I543" s="18"/>
    </row>
    <row r="544" ht="15.75" customHeight="1">
      <c r="I544" s="18"/>
    </row>
    <row r="545" ht="15.75" customHeight="1">
      <c r="I545" s="18"/>
    </row>
    <row r="546" ht="15.75" customHeight="1">
      <c r="I546" s="18"/>
    </row>
    <row r="547" ht="15.75" customHeight="1">
      <c r="I547" s="18"/>
    </row>
    <row r="548" ht="15.75" customHeight="1">
      <c r="I548" s="18"/>
    </row>
    <row r="549" ht="15.75" customHeight="1">
      <c r="I549" s="18"/>
    </row>
    <row r="550" ht="15.75" customHeight="1">
      <c r="I550" s="18"/>
    </row>
    <row r="551" ht="15.75" customHeight="1">
      <c r="I551" s="18"/>
    </row>
    <row r="552" ht="15.75" customHeight="1">
      <c r="I552" s="18"/>
    </row>
    <row r="553" ht="15.75" customHeight="1">
      <c r="I553" s="18"/>
    </row>
    <row r="554" ht="15.75" customHeight="1">
      <c r="I554" s="18"/>
    </row>
    <row r="555" ht="15.75" customHeight="1">
      <c r="I555" s="18"/>
    </row>
    <row r="556" ht="15.75" customHeight="1">
      <c r="I556" s="18"/>
    </row>
    <row r="557" ht="15.75" customHeight="1">
      <c r="I557" s="18"/>
    </row>
    <row r="558" ht="15.75" customHeight="1">
      <c r="I558" s="18"/>
    </row>
    <row r="559" ht="15.75" customHeight="1">
      <c r="I559" s="18"/>
    </row>
    <row r="560" ht="15.75" customHeight="1">
      <c r="I560" s="18"/>
    </row>
    <row r="561" ht="15.75" customHeight="1">
      <c r="I561" s="18"/>
    </row>
    <row r="562" ht="15.75" customHeight="1">
      <c r="I562" s="18"/>
    </row>
    <row r="563" ht="15.75" customHeight="1">
      <c r="I563" s="18"/>
    </row>
    <row r="564" ht="15.75" customHeight="1">
      <c r="I564" s="18"/>
    </row>
    <row r="565" ht="15.75" customHeight="1">
      <c r="I565" s="18"/>
    </row>
    <row r="566" ht="15.75" customHeight="1">
      <c r="I566" s="18"/>
    </row>
    <row r="567" ht="15.75" customHeight="1">
      <c r="I567" s="18"/>
    </row>
    <row r="568" ht="15.75" customHeight="1">
      <c r="I568" s="18"/>
    </row>
    <row r="569" ht="15.75" customHeight="1">
      <c r="I569" s="18"/>
    </row>
    <row r="570" ht="15.75" customHeight="1">
      <c r="I570" s="18"/>
    </row>
    <row r="571" ht="15.75" customHeight="1">
      <c r="I571" s="18"/>
    </row>
    <row r="572" ht="15.75" customHeight="1">
      <c r="I572" s="18"/>
    </row>
    <row r="573" ht="15.75" customHeight="1">
      <c r="I573" s="18"/>
    </row>
    <row r="574" ht="15.75" customHeight="1">
      <c r="I574" s="18"/>
    </row>
    <row r="575" ht="15.75" customHeight="1">
      <c r="I575" s="18"/>
    </row>
    <row r="576" ht="15.75" customHeight="1">
      <c r="I576" s="18"/>
    </row>
    <row r="577" ht="15.75" customHeight="1">
      <c r="I577" s="18"/>
    </row>
    <row r="578" ht="15.75" customHeight="1">
      <c r="I578" s="18"/>
    </row>
    <row r="579" ht="15.75" customHeight="1">
      <c r="I579" s="18"/>
    </row>
    <row r="580" ht="15.75" customHeight="1">
      <c r="I580" s="18"/>
    </row>
    <row r="581" ht="15.75" customHeight="1">
      <c r="I581" s="18"/>
    </row>
    <row r="582" ht="15.75" customHeight="1">
      <c r="I582" s="18"/>
    </row>
    <row r="583" ht="15.75" customHeight="1">
      <c r="I583" s="18"/>
    </row>
    <row r="584" ht="15.75" customHeight="1">
      <c r="I584" s="18"/>
    </row>
    <row r="585" ht="15.75" customHeight="1">
      <c r="I585" s="18"/>
    </row>
    <row r="586" ht="15.75" customHeight="1">
      <c r="I586" s="18"/>
    </row>
    <row r="587" ht="15.75" customHeight="1">
      <c r="I587" s="18"/>
    </row>
    <row r="588" ht="15.75" customHeight="1">
      <c r="I588" s="18"/>
    </row>
    <row r="589" ht="15.75" customHeight="1">
      <c r="I589" s="18"/>
    </row>
    <row r="590" ht="15.75" customHeight="1">
      <c r="I590" s="18"/>
    </row>
    <row r="591" ht="15.75" customHeight="1">
      <c r="I591" s="18"/>
    </row>
    <row r="592" ht="15.75" customHeight="1">
      <c r="I592" s="18"/>
    </row>
    <row r="593" ht="15.75" customHeight="1">
      <c r="I593" s="18"/>
    </row>
    <row r="594" ht="15.75" customHeight="1">
      <c r="I594" s="18"/>
    </row>
    <row r="595" ht="15.75" customHeight="1">
      <c r="I595" s="18"/>
    </row>
    <row r="596" ht="15.75" customHeight="1">
      <c r="I596" s="18"/>
    </row>
    <row r="597" ht="15.75" customHeight="1">
      <c r="I597" s="18"/>
    </row>
    <row r="598" ht="15.75" customHeight="1">
      <c r="I598" s="18"/>
    </row>
    <row r="599" ht="15.75" customHeight="1">
      <c r="I599" s="18"/>
    </row>
    <row r="600" ht="15.75" customHeight="1">
      <c r="I600" s="18"/>
    </row>
    <row r="601" ht="15.75" customHeight="1">
      <c r="I601" s="18"/>
    </row>
    <row r="602" ht="15.75" customHeight="1">
      <c r="I602" s="18"/>
    </row>
    <row r="603" ht="15.75" customHeight="1">
      <c r="I603" s="18"/>
    </row>
    <row r="604" ht="15.75" customHeight="1">
      <c r="I604" s="18"/>
    </row>
    <row r="605" ht="15.75" customHeight="1">
      <c r="I605" s="18"/>
    </row>
    <row r="606" ht="15.75" customHeight="1">
      <c r="I606" s="18"/>
    </row>
    <row r="607" ht="15.75" customHeight="1">
      <c r="I607" s="18"/>
    </row>
    <row r="608" ht="15.75" customHeight="1">
      <c r="I608" s="18"/>
    </row>
    <row r="609" ht="15.75" customHeight="1">
      <c r="I609" s="18"/>
    </row>
    <row r="610" ht="15.75" customHeight="1">
      <c r="I610" s="18"/>
    </row>
    <row r="611" ht="15.75" customHeight="1">
      <c r="I611" s="18"/>
    </row>
    <row r="612" ht="15.75" customHeight="1">
      <c r="I612" s="18"/>
    </row>
    <row r="613" ht="15.75" customHeight="1">
      <c r="I613" s="18"/>
    </row>
    <row r="614" ht="15.75" customHeight="1">
      <c r="I614" s="18"/>
    </row>
    <row r="615" ht="15.75" customHeight="1">
      <c r="I615" s="18"/>
    </row>
    <row r="616" ht="15.75" customHeight="1">
      <c r="I616" s="18"/>
    </row>
    <row r="617" ht="15.75" customHeight="1">
      <c r="I617" s="18"/>
    </row>
    <row r="618" ht="15.75" customHeight="1">
      <c r="I618" s="18"/>
    </row>
    <row r="619" ht="15.75" customHeight="1">
      <c r="I619" s="18"/>
    </row>
    <row r="620" ht="15.75" customHeight="1">
      <c r="I620" s="18"/>
    </row>
    <row r="621" ht="15.75" customHeight="1">
      <c r="I621" s="18"/>
    </row>
    <row r="622" ht="15.75" customHeight="1">
      <c r="I622" s="18"/>
    </row>
    <row r="623" ht="15.75" customHeight="1">
      <c r="I623" s="18"/>
    </row>
    <row r="624" ht="15.75" customHeight="1">
      <c r="I624" s="18"/>
    </row>
    <row r="625" ht="15.75" customHeight="1">
      <c r="I625" s="18"/>
    </row>
    <row r="626" ht="15.75" customHeight="1">
      <c r="I626" s="18"/>
    </row>
    <row r="627" ht="15.75" customHeight="1">
      <c r="I627" s="18"/>
    </row>
    <row r="628" ht="15.75" customHeight="1">
      <c r="I628" s="18"/>
    </row>
    <row r="629" ht="15.75" customHeight="1">
      <c r="I629" s="18"/>
    </row>
    <row r="630" ht="15.75" customHeight="1">
      <c r="I630" s="18"/>
    </row>
    <row r="631" ht="15.75" customHeight="1">
      <c r="I631" s="18"/>
    </row>
    <row r="632" ht="15.75" customHeight="1">
      <c r="I632" s="18"/>
    </row>
    <row r="633" ht="15.75" customHeight="1">
      <c r="I633" s="18"/>
    </row>
    <row r="634" ht="15.75" customHeight="1">
      <c r="I634" s="18"/>
    </row>
    <row r="635" ht="15.75" customHeight="1">
      <c r="I635" s="18"/>
    </row>
    <row r="636" ht="15.75" customHeight="1">
      <c r="I636" s="18"/>
    </row>
    <row r="637" ht="15.75" customHeight="1">
      <c r="I637" s="18"/>
    </row>
    <row r="638" ht="15.75" customHeight="1">
      <c r="I638" s="18"/>
    </row>
    <row r="639" ht="15.75" customHeight="1">
      <c r="I639" s="18"/>
    </row>
    <row r="640" ht="15.75" customHeight="1">
      <c r="I640" s="18"/>
    </row>
    <row r="641" ht="15.75" customHeight="1">
      <c r="I641" s="18"/>
    </row>
    <row r="642" ht="15.75" customHeight="1">
      <c r="I642" s="18"/>
    </row>
    <row r="643" ht="15.75" customHeight="1">
      <c r="I643" s="18"/>
    </row>
    <row r="644" ht="15.75" customHeight="1">
      <c r="I644" s="18"/>
    </row>
    <row r="645" ht="15.75" customHeight="1">
      <c r="I645" s="18"/>
    </row>
    <row r="646" ht="15.75" customHeight="1">
      <c r="I646" s="18"/>
    </row>
    <row r="647" ht="15.75" customHeight="1">
      <c r="I647" s="18"/>
    </row>
    <row r="648" ht="15.75" customHeight="1">
      <c r="I648" s="18"/>
    </row>
    <row r="649" ht="15.75" customHeight="1">
      <c r="I649" s="18"/>
    </row>
    <row r="650" ht="15.75" customHeight="1">
      <c r="I650" s="18"/>
    </row>
    <row r="651" ht="15.75" customHeight="1">
      <c r="I651" s="18"/>
    </row>
    <row r="652" ht="15.75" customHeight="1">
      <c r="I652" s="18"/>
    </row>
    <row r="653" ht="15.75" customHeight="1">
      <c r="I653" s="18"/>
    </row>
    <row r="654" ht="15.75" customHeight="1">
      <c r="I654" s="18"/>
    </row>
    <row r="655" ht="15.75" customHeight="1">
      <c r="I655" s="18"/>
    </row>
    <row r="656" ht="15.75" customHeight="1">
      <c r="I656" s="18"/>
    </row>
    <row r="657" ht="15.75" customHeight="1">
      <c r="I657" s="18"/>
    </row>
    <row r="658" ht="15.75" customHeight="1">
      <c r="I658" s="18"/>
    </row>
    <row r="659" ht="15.75" customHeight="1">
      <c r="I659" s="18"/>
    </row>
    <row r="660" ht="15.75" customHeight="1">
      <c r="I660" s="18"/>
    </row>
    <row r="661" ht="15.75" customHeight="1">
      <c r="I661" s="18"/>
    </row>
    <row r="662" ht="15.75" customHeight="1">
      <c r="I662" s="18"/>
    </row>
    <row r="663" ht="15.75" customHeight="1">
      <c r="I663" s="18"/>
    </row>
    <row r="664" ht="15.75" customHeight="1">
      <c r="I664" s="18"/>
    </row>
    <row r="665" ht="15.75" customHeight="1">
      <c r="I665" s="18"/>
    </row>
    <row r="666" ht="15.75" customHeight="1">
      <c r="I666" s="18"/>
    </row>
    <row r="667" ht="15.75" customHeight="1">
      <c r="I667" s="18"/>
    </row>
    <row r="668" ht="15.75" customHeight="1">
      <c r="I668" s="18"/>
    </row>
    <row r="669" ht="15.75" customHeight="1">
      <c r="I669" s="18"/>
    </row>
    <row r="670" ht="15.75" customHeight="1">
      <c r="I670" s="18"/>
    </row>
    <row r="671" ht="15.75" customHeight="1">
      <c r="I671" s="18"/>
    </row>
    <row r="672" ht="15.75" customHeight="1">
      <c r="I672" s="18"/>
    </row>
    <row r="673" ht="15.75" customHeight="1">
      <c r="I673" s="18"/>
    </row>
    <row r="674" ht="15.75" customHeight="1">
      <c r="I674" s="18"/>
    </row>
    <row r="675" ht="15.75" customHeight="1">
      <c r="I675" s="18"/>
    </row>
    <row r="676" ht="15.75" customHeight="1">
      <c r="I676" s="18"/>
    </row>
    <row r="677" ht="15.75" customHeight="1">
      <c r="I677" s="18"/>
    </row>
    <row r="678" ht="15.75" customHeight="1">
      <c r="I678" s="18"/>
    </row>
    <row r="679" ht="15.75" customHeight="1">
      <c r="I679" s="18"/>
    </row>
    <row r="680" ht="15.75" customHeight="1">
      <c r="I680" s="18"/>
    </row>
    <row r="681" ht="15.75" customHeight="1">
      <c r="I681" s="18"/>
    </row>
    <row r="682" ht="15.75" customHeight="1">
      <c r="I682" s="18"/>
    </row>
    <row r="683" ht="15.75" customHeight="1">
      <c r="I683" s="18"/>
    </row>
    <row r="684" ht="15.75" customHeight="1">
      <c r="I684" s="18"/>
    </row>
    <row r="685" ht="15.75" customHeight="1">
      <c r="I685" s="18"/>
    </row>
    <row r="686" ht="15.75" customHeight="1">
      <c r="I686" s="18"/>
    </row>
    <row r="687" ht="15.75" customHeight="1">
      <c r="I687" s="18"/>
    </row>
    <row r="688" ht="15.75" customHeight="1">
      <c r="I688" s="18"/>
    </row>
    <row r="689" ht="15.75" customHeight="1">
      <c r="I689" s="18"/>
    </row>
    <row r="690" ht="15.75" customHeight="1">
      <c r="I690" s="18"/>
    </row>
    <row r="691" ht="15.75" customHeight="1">
      <c r="I691" s="18"/>
    </row>
    <row r="692" ht="15.75" customHeight="1">
      <c r="I692" s="18"/>
    </row>
    <row r="693" ht="15.75" customHeight="1">
      <c r="I693" s="18"/>
    </row>
    <row r="694" ht="15.75" customHeight="1">
      <c r="I694" s="18"/>
    </row>
    <row r="695" ht="15.75" customHeight="1">
      <c r="I695" s="18"/>
    </row>
    <row r="696" ht="15.75" customHeight="1">
      <c r="I696" s="18"/>
    </row>
    <row r="697" ht="15.75" customHeight="1">
      <c r="I697" s="18"/>
    </row>
    <row r="698" ht="15.75" customHeight="1">
      <c r="I698" s="18"/>
    </row>
    <row r="699" ht="15.75" customHeight="1">
      <c r="I699" s="18"/>
    </row>
    <row r="700" ht="15.75" customHeight="1">
      <c r="I700" s="18"/>
    </row>
    <row r="701" ht="15.75" customHeight="1">
      <c r="I701" s="18"/>
    </row>
    <row r="702" ht="15.75" customHeight="1">
      <c r="I702" s="18"/>
    </row>
    <row r="703" ht="15.75" customHeight="1">
      <c r="I703" s="18"/>
    </row>
    <row r="704" ht="15.75" customHeight="1">
      <c r="I704" s="18"/>
    </row>
    <row r="705" ht="15.75" customHeight="1">
      <c r="I705" s="18"/>
    </row>
    <row r="706" ht="15.75" customHeight="1">
      <c r="I706" s="18"/>
    </row>
    <row r="707" ht="15.75" customHeight="1">
      <c r="I707" s="18"/>
    </row>
    <row r="708" ht="15.75" customHeight="1">
      <c r="I708" s="18"/>
    </row>
    <row r="709" ht="15.75" customHeight="1">
      <c r="I709" s="18"/>
    </row>
    <row r="710" ht="15.75" customHeight="1">
      <c r="I710" s="18"/>
    </row>
    <row r="711" ht="15.75" customHeight="1">
      <c r="I711" s="18"/>
    </row>
    <row r="712" ht="15.75" customHeight="1">
      <c r="I712" s="18"/>
    </row>
    <row r="713" ht="15.75" customHeight="1">
      <c r="I713" s="18"/>
    </row>
    <row r="714" ht="15.75" customHeight="1">
      <c r="I714" s="18"/>
    </row>
    <row r="715" ht="15.75" customHeight="1">
      <c r="I715" s="18"/>
    </row>
    <row r="716" ht="15.75" customHeight="1">
      <c r="I716" s="18"/>
    </row>
    <row r="717" ht="15.75" customHeight="1">
      <c r="I717" s="18"/>
    </row>
    <row r="718" ht="15.75" customHeight="1">
      <c r="I718" s="18"/>
    </row>
    <row r="719" ht="15.75" customHeight="1">
      <c r="I719" s="18"/>
    </row>
    <row r="720" ht="15.75" customHeight="1">
      <c r="I720" s="18"/>
    </row>
    <row r="721" ht="15.75" customHeight="1">
      <c r="I721" s="18"/>
    </row>
    <row r="722" ht="15.75" customHeight="1">
      <c r="I722" s="18"/>
    </row>
    <row r="723" ht="15.75" customHeight="1">
      <c r="I723" s="18"/>
    </row>
    <row r="724" ht="15.75" customHeight="1">
      <c r="I724" s="18"/>
    </row>
    <row r="725" ht="15.75" customHeight="1">
      <c r="I725" s="18"/>
    </row>
    <row r="726" ht="15.75" customHeight="1">
      <c r="I726" s="18"/>
    </row>
    <row r="727" ht="15.75" customHeight="1">
      <c r="I727" s="18"/>
    </row>
    <row r="728" ht="15.75" customHeight="1">
      <c r="I728" s="18"/>
    </row>
    <row r="729" ht="15.75" customHeight="1">
      <c r="I729" s="18"/>
    </row>
    <row r="730" ht="15.75" customHeight="1">
      <c r="I730" s="18"/>
    </row>
    <row r="731" ht="15.75" customHeight="1">
      <c r="I731" s="18"/>
    </row>
    <row r="732" ht="15.75" customHeight="1">
      <c r="I732" s="18"/>
    </row>
    <row r="733" ht="15.75" customHeight="1">
      <c r="I733" s="18"/>
    </row>
    <row r="734" ht="15.75" customHeight="1">
      <c r="I734" s="18"/>
    </row>
    <row r="735" ht="15.75" customHeight="1">
      <c r="I735" s="18"/>
    </row>
    <row r="736" ht="15.75" customHeight="1">
      <c r="I736" s="18"/>
    </row>
    <row r="737" ht="15.75" customHeight="1">
      <c r="I737" s="18"/>
    </row>
    <row r="738" ht="15.75" customHeight="1">
      <c r="I738" s="18"/>
    </row>
    <row r="739" ht="15.75" customHeight="1">
      <c r="I739" s="18"/>
    </row>
    <row r="740" ht="15.75" customHeight="1">
      <c r="I740" s="18"/>
    </row>
    <row r="741" ht="15.75" customHeight="1">
      <c r="I741" s="18"/>
    </row>
    <row r="742" ht="15.75" customHeight="1">
      <c r="I742" s="18"/>
    </row>
    <row r="743" ht="15.75" customHeight="1">
      <c r="I743" s="18"/>
    </row>
    <row r="744" ht="15.75" customHeight="1">
      <c r="I744" s="18"/>
    </row>
    <row r="745" ht="15.75" customHeight="1">
      <c r="I745" s="18"/>
    </row>
    <row r="746" ht="15.75" customHeight="1">
      <c r="I746" s="18"/>
    </row>
    <row r="747" ht="15.75" customHeight="1">
      <c r="I747" s="18"/>
    </row>
    <row r="748" ht="15.75" customHeight="1">
      <c r="I748" s="18"/>
    </row>
    <row r="749" ht="15.75" customHeight="1">
      <c r="I749" s="18"/>
    </row>
    <row r="750" ht="15.75" customHeight="1">
      <c r="I750" s="18"/>
    </row>
    <row r="751" ht="15.75" customHeight="1">
      <c r="I751" s="18"/>
    </row>
    <row r="752" ht="15.75" customHeight="1">
      <c r="I752" s="18"/>
    </row>
    <row r="753" ht="15.75" customHeight="1">
      <c r="I753" s="18"/>
    </row>
    <row r="754" ht="15.75" customHeight="1">
      <c r="I754" s="18"/>
    </row>
    <row r="755" ht="15.75" customHeight="1">
      <c r="I755" s="18"/>
    </row>
    <row r="756" ht="15.75" customHeight="1">
      <c r="I756" s="18"/>
    </row>
    <row r="757" ht="15.75" customHeight="1">
      <c r="I757" s="18"/>
    </row>
    <row r="758" ht="15.75" customHeight="1">
      <c r="I758" s="18"/>
    </row>
    <row r="759" ht="15.75" customHeight="1">
      <c r="I759" s="18"/>
    </row>
    <row r="760" ht="15.75" customHeight="1">
      <c r="I760" s="18"/>
    </row>
    <row r="761" ht="15.75" customHeight="1">
      <c r="I761" s="18"/>
    </row>
    <row r="762" ht="15.75" customHeight="1">
      <c r="I762" s="18"/>
    </row>
    <row r="763" ht="15.75" customHeight="1">
      <c r="I763" s="18"/>
    </row>
    <row r="764" ht="15.75" customHeight="1">
      <c r="I764" s="18"/>
    </row>
    <row r="765" ht="15.75" customHeight="1">
      <c r="I765" s="18"/>
    </row>
    <row r="766" ht="15.75" customHeight="1">
      <c r="I766" s="18"/>
    </row>
    <row r="767" ht="15.75" customHeight="1">
      <c r="I767" s="18"/>
    </row>
    <row r="768" ht="15.75" customHeight="1">
      <c r="I768" s="18"/>
    </row>
    <row r="769" ht="15.75" customHeight="1">
      <c r="I769" s="18"/>
    </row>
    <row r="770" ht="15.75" customHeight="1">
      <c r="I770" s="18"/>
    </row>
    <row r="771" ht="15.75" customHeight="1">
      <c r="I771" s="18"/>
    </row>
    <row r="772" ht="15.75" customHeight="1">
      <c r="I772" s="18"/>
    </row>
    <row r="773" ht="15.75" customHeight="1">
      <c r="I773" s="18"/>
    </row>
    <row r="774" ht="15.75" customHeight="1">
      <c r="I774" s="18"/>
    </row>
    <row r="775" ht="15.75" customHeight="1">
      <c r="I775" s="18"/>
    </row>
    <row r="776" ht="15.75" customHeight="1">
      <c r="I776" s="18"/>
    </row>
    <row r="777" ht="15.75" customHeight="1">
      <c r="I777" s="18"/>
    </row>
    <row r="778" ht="15.75" customHeight="1">
      <c r="I778" s="18"/>
    </row>
    <row r="779" ht="15.75" customHeight="1">
      <c r="I779" s="18"/>
    </row>
    <row r="780" ht="15.75" customHeight="1">
      <c r="I780" s="18"/>
    </row>
    <row r="781" ht="15.75" customHeight="1">
      <c r="I781" s="18"/>
    </row>
    <row r="782" ht="15.75" customHeight="1">
      <c r="I782" s="18"/>
    </row>
    <row r="783" ht="15.75" customHeight="1">
      <c r="I783" s="18"/>
    </row>
    <row r="784" ht="15.75" customHeight="1">
      <c r="I784" s="18"/>
    </row>
    <row r="785" ht="15.75" customHeight="1">
      <c r="I785" s="18"/>
    </row>
    <row r="786" ht="15.75" customHeight="1">
      <c r="I786" s="18"/>
    </row>
    <row r="787" ht="15.75" customHeight="1">
      <c r="I787" s="18"/>
    </row>
    <row r="788" ht="15.75" customHeight="1">
      <c r="I788" s="18"/>
    </row>
    <row r="789" ht="15.75" customHeight="1">
      <c r="I789" s="18"/>
    </row>
    <row r="790" ht="15.75" customHeight="1">
      <c r="I790" s="18"/>
    </row>
    <row r="791" ht="15.75" customHeight="1">
      <c r="I791" s="18"/>
    </row>
    <row r="792" ht="15.75" customHeight="1">
      <c r="I792" s="18"/>
    </row>
    <row r="793" ht="15.75" customHeight="1">
      <c r="I793" s="18"/>
    </row>
    <row r="794" ht="15.75" customHeight="1">
      <c r="I794" s="18"/>
    </row>
    <row r="795" ht="15.75" customHeight="1">
      <c r="I795" s="18"/>
    </row>
    <row r="796" ht="15.75" customHeight="1">
      <c r="I796" s="18"/>
    </row>
    <row r="797" ht="15.75" customHeight="1">
      <c r="I797" s="18"/>
    </row>
    <row r="798" ht="15.75" customHeight="1">
      <c r="I798" s="18"/>
    </row>
    <row r="799" ht="15.75" customHeight="1">
      <c r="I799" s="18"/>
    </row>
    <row r="800" ht="15.75" customHeight="1">
      <c r="I800" s="18"/>
    </row>
    <row r="801" ht="15.75" customHeight="1">
      <c r="I801" s="18"/>
    </row>
    <row r="802" ht="15.75" customHeight="1">
      <c r="I802" s="18"/>
    </row>
    <row r="803" ht="15.75" customHeight="1">
      <c r="I803" s="18"/>
    </row>
    <row r="804" ht="15.75" customHeight="1">
      <c r="I804" s="18"/>
    </row>
    <row r="805" ht="15.75" customHeight="1">
      <c r="I805" s="18"/>
    </row>
    <row r="806" ht="15.75" customHeight="1">
      <c r="I806" s="18"/>
    </row>
    <row r="807" ht="15.75" customHeight="1">
      <c r="I807" s="18"/>
    </row>
    <row r="808" ht="15.75" customHeight="1">
      <c r="I808" s="18"/>
    </row>
    <row r="809" ht="15.75" customHeight="1">
      <c r="I809" s="18"/>
    </row>
    <row r="810" ht="15.75" customHeight="1">
      <c r="I810" s="18"/>
    </row>
    <row r="811" ht="15.75" customHeight="1">
      <c r="I811" s="18"/>
    </row>
    <row r="812" ht="15.75" customHeight="1">
      <c r="I812" s="18"/>
    </row>
    <row r="813" ht="15.75" customHeight="1">
      <c r="I813" s="18"/>
    </row>
    <row r="814" ht="15.75" customHeight="1">
      <c r="I814" s="18"/>
    </row>
    <row r="815" ht="15.75" customHeight="1">
      <c r="I815" s="18"/>
    </row>
    <row r="816" ht="15.75" customHeight="1">
      <c r="I816" s="18"/>
    </row>
    <row r="817" ht="15.75" customHeight="1">
      <c r="I817" s="18"/>
    </row>
    <row r="818" ht="15.75" customHeight="1">
      <c r="I818" s="18"/>
    </row>
    <row r="819" ht="15.75" customHeight="1">
      <c r="I819" s="18"/>
    </row>
    <row r="820" ht="15.75" customHeight="1">
      <c r="I820" s="18"/>
    </row>
    <row r="821" ht="15.75" customHeight="1">
      <c r="I821" s="18"/>
    </row>
    <row r="822" ht="15.75" customHeight="1">
      <c r="I822" s="18"/>
    </row>
    <row r="823" ht="15.75" customHeight="1">
      <c r="I823" s="18"/>
    </row>
    <row r="824" ht="15.75" customHeight="1">
      <c r="I824" s="18"/>
    </row>
    <row r="825" ht="15.75" customHeight="1">
      <c r="I825" s="18"/>
    </row>
    <row r="826" ht="15.75" customHeight="1">
      <c r="I826" s="18"/>
    </row>
    <row r="827" ht="15.75" customHeight="1">
      <c r="I827" s="18"/>
    </row>
    <row r="828" ht="15.75" customHeight="1">
      <c r="I828" s="18"/>
    </row>
    <row r="829" ht="15.75" customHeight="1">
      <c r="I829" s="18"/>
    </row>
    <row r="830" ht="15.75" customHeight="1">
      <c r="I830" s="18"/>
    </row>
    <row r="831" ht="15.75" customHeight="1">
      <c r="I831" s="18"/>
    </row>
    <row r="832" ht="15.75" customHeight="1">
      <c r="I832" s="18"/>
    </row>
    <row r="833" ht="15.75" customHeight="1">
      <c r="I833" s="18"/>
    </row>
    <row r="834" ht="15.75" customHeight="1">
      <c r="I834" s="18"/>
    </row>
    <row r="835" ht="15.75" customHeight="1">
      <c r="I835" s="18"/>
    </row>
    <row r="836" ht="15.75" customHeight="1">
      <c r="I836" s="18"/>
    </row>
    <row r="837" ht="15.75" customHeight="1">
      <c r="I837" s="18"/>
    </row>
    <row r="838" ht="15.75" customHeight="1">
      <c r="I838" s="18"/>
    </row>
    <row r="839" ht="15.75" customHeight="1">
      <c r="I839" s="18"/>
    </row>
    <row r="840" ht="15.75" customHeight="1">
      <c r="I840" s="18"/>
    </row>
    <row r="841" ht="15.75" customHeight="1">
      <c r="I841" s="18"/>
    </row>
    <row r="842" ht="15.75" customHeight="1">
      <c r="I842" s="18"/>
    </row>
    <row r="843" ht="15.75" customHeight="1">
      <c r="I843" s="18"/>
    </row>
    <row r="844" ht="15.75" customHeight="1">
      <c r="I844" s="18"/>
    </row>
    <row r="845" ht="15.75" customHeight="1">
      <c r="I845" s="18"/>
    </row>
    <row r="846" ht="15.75" customHeight="1">
      <c r="I846" s="18"/>
    </row>
    <row r="847" ht="15.75" customHeight="1">
      <c r="I847" s="18"/>
    </row>
    <row r="848" ht="15.75" customHeight="1">
      <c r="I848" s="18"/>
    </row>
    <row r="849" ht="15.75" customHeight="1">
      <c r="I849" s="18"/>
    </row>
    <row r="850" ht="15.75" customHeight="1">
      <c r="I850" s="18"/>
    </row>
    <row r="851" ht="15.75" customHeight="1">
      <c r="I851" s="18"/>
    </row>
    <row r="852" ht="15.75" customHeight="1">
      <c r="I852" s="18"/>
    </row>
    <row r="853" ht="15.75" customHeight="1">
      <c r="I853" s="18"/>
    </row>
    <row r="854" ht="15.75" customHeight="1">
      <c r="I854" s="18"/>
    </row>
    <row r="855" ht="15.75" customHeight="1">
      <c r="I855" s="18"/>
    </row>
    <row r="856" ht="15.75" customHeight="1">
      <c r="I856" s="18"/>
    </row>
    <row r="857" ht="15.75" customHeight="1">
      <c r="I857" s="18"/>
    </row>
    <row r="858" ht="15.75" customHeight="1">
      <c r="I858" s="18"/>
    </row>
    <row r="859" ht="15.75" customHeight="1">
      <c r="I859" s="18"/>
    </row>
    <row r="860" ht="15.75" customHeight="1">
      <c r="I860" s="18"/>
    </row>
    <row r="861" ht="15.75" customHeight="1">
      <c r="I861" s="18"/>
    </row>
    <row r="862" ht="15.75" customHeight="1">
      <c r="I862" s="18"/>
    </row>
    <row r="863" ht="15.75" customHeight="1">
      <c r="I863" s="18"/>
    </row>
    <row r="864" ht="15.75" customHeight="1">
      <c r="I864" s="18"/>
    </row>
    <row r="865" ht="15.75" customHeight="1">
      <c r="I865" s="18"/>
    </row>
    <row r="866" ht="15.75" customHeight="1">
      <c r="I866" s="18"/>
    </row>
    <row r="867" ht="15.75" customHeight="1">
      <c r="I867" s="18"/>
    </row>
    <row r="868" ht="15.75" customHeight="1">
      <c r="I868" s="18"/>
    </row>
    <row r="869" ht="15.75" customHeight="1">
      <c r="I869" s="18"/>
    </row>
    <row r="870" ht="15.75" customHeight="1">
      <c r="I870" s="18"/>
    </row>
    <row r="871" ht="15.75" customHeight="1">
      <c r="I871" s="18"/>
    </row>
    <row r="872" ht="15.75" customHeight="1">
      <c r="I872" s="18"/>
    </row>
    <row r="873" ht="15.75" customHeight="1">
      <c r="I873" s="18"/>
    </row>
    <row r="874" ht="15.75" customHeight="1">
      <c r="I874" s="18"/>
    </row>
    <row r="875" ht="15.75" customHeight="1">
      <c r="I875" s="18"/>
    </row>
    <row r="876" ht="15.75" customHeight="1">
      <c r="I876" s="18"/>
    </row>
    <row r="877" ht="15.75" customHeight="1">
      <c r="I877" s="18"/>
    </row>
    <row r="878" ht="15.75" customHeight="1">
      <c r="I878" s="18"/>
    </row>
    <row r="879" ht="15.75" customHeight="1">
      <c r="I879" s="18"/>
    </row>
    <row r="880" ht="15.75" customHeight="1">
      <c r="I880" s="18"/>
    </row>
    <row r="881" ht="15.75" customHeight="1">
      <c r="I881" s="18"/>
    </row>
    <row r="882" ht="15.75" customHeight="1">
      <c r="I882" s="18"/>
    </row>
    <row r="883" ht="15.75" customHeight="1">
      <c r="I883" s="18"/>
    </row>
    <row r="884" ht="15.75" customHeight="1">
      <c r="I884" s="18"/>
    </row>
    <row r="885" ht="15.75" customHeight="1">
      <c r="I885" s="18"/>
    </row>
    <row r="886" ht="15.75" customHeight="1">
      <c r="I886" s="18"/>
    </row>
    <row r="887" ht="15.75" customHeight="1">
      <c r="I887" s="18"/>
    </row>
    <row r="888" ht="15.75" customHeight="1">
      <c r="I888" s="18"/>
    </row>
    <row r="889" ht="15.75" customHeight="1">
      <c r="I889" s="18"/>
    </row>
    <row r="890" ht="15.75" customHeight="1">
      <c r="I890" s="18"/>
    </row>
    <row r="891" ht="15.75" customHeight="1">
      <c r="I891" s="18"/>
    </row>
    <row r="892" ht="15.75" customHeight="1">
      <c r="I892" s="18"/>
    </row>
    <row r="893" ht="15.75" customHeight="1">
      <c r="I893" s="18"/>
    </row>
    <row r="894" ht="15.75" customHeight="1">
      <c r="I894" s="18"/>
    </row>
    <row r="895" ht="15.75" customHeight="1">
      <c r="I895" s="18"/>
    </row>
    <row r="896" ht="15.75" customHeight="1">
      <c r="I896" s="18"/>
    </row>
    <row r="897" ht="15.75" customHeight="1">
      <c r="I897" s="18"/>
    </row>
    <row r="898" ht="15.75" customHeight="1">
      <c r="I898" s="18"/>
    </row>
    <row r="899" ht="15.75" customHeight="1">
      <c r="I899" s="18"/>
    </row>
    <row r="900" ht="15.75" customHeight="1">
      <c r="I900" s="18"/>
    </row>
    <row r="901" ht="15.75" customHeight="1">
      <c r="I901" s="18"/>
    </row>
    <row r="902" ht="15.75" customHeight="1">
      <c r="I902" s="18"/>
    </row>
    <row r="903" ht="15.75" customHeight="1">
      <c r="I903" s="18"/>
    </row>
    <row r="904" ht="15.75" customHeight="1">
      <c r="I904" s="18"/>
    </row>
    <row r="905" ht="15.75" customHeight="1">
      <c r="I905" s="18"/>
    </row>
    <row r="906" ht="15.75" customHeight="1">
      <c r="I906" s="18"/>
    </row>
    <row r="907" ht="15.75" customHeight="1">
      <c r="I907" s="18"/>
    </row>
    <row r="908" ht="15.75" customHeight="1">
      <c r="I908" s="18"/>
    </row>
    <row r="909" ht="15.75" customHeight="1">
      <c r="I909" s="18"/>
    </row>
    <row r="910" ht="15.75" customHeight="1">
      <c r="I910" s="18"/>
    </row>
    <row r="911" ht="15.75" customHeight="1">
      <c r="I911" s="18"/>
    </row>
    <row r="912" ht="15.75" customHeight="1">
      <c r="I912" s="18"/>
    </row>
    <row r="913" ht="15.75" customHeight="1">
      <c r="I913" s="18"/>
    </row>
    <row r="914" ht="15.75" customHeight="1">
      <c r="I914" s="18"/>
    </row>
    <row r="915" ht="15.75" customHeight="1">
      <c r="I915" s="18"/>
    </row>
    <row r="916" ht="15.75" customHeight="1">
      <c r="I916" s="18"/>
    </row>
    <row r="917" ht="15.75" customHeight="1">
      <c r="I917" s="18"/>
    </row>
    <row r="918" ht="15.75" customHeight="1">
      <c r="I918" s="18"/>
    </row>
    <row r="919" ht="15.75" customHeight="1">
      <c r="I919" s="18"/>
    </row>
    <row r="920" ht="15.75" customHeight="1">
      <c r="I920" s="18"/>
    </row>
    <row r="921" ht="15.75" customHeight="1">
      <c r="I921" s="18"/>
    </row>
    <row r="922" ht="15.75" customHeight="1">
      <c r="I922" s="18"/>
    </row>
    <row r="923" ht="15.75" customHeight="1">
      <c r="I923" s="18"/>
    </row>
    <row r="924" ht="15.75" customHeight="1">
      <c r="I924" s="18"/>
    </row>
    <row r="925" ht="15.75" customHeight="1">
      <c r="I925" s="18"/>
    </row>
    <row r="926" ht="15.75" customHeight="1">
      <c r="I926" s="18"/>
    </row>
    <row r="927" ht="15.75" customHeight="1">
      <c r="I927" s="18"/>
    </row>
    <row r="928" ht="15.75" customHeight="1">
      <c r="I928" s="18"/>
    </row>
    <row r="929" ht="15.75" customHeight="1">
      <c r="I929" s="18"/>
    </row>
    <row r="930" ht="15.75" customHeight="1">
      <c r="I930" s="18"/>
    </row>
    <row r="931" ht="15.75" customHeight="1">
      <c r="I931" s="18"/>
    </row>
    <row r="932" ht="15.75" customHeight="1">
      <c r="I932" s="18"/>
    </row>
    <row r="933" ht="15.75" customHeight="1">
      <c r="I933" s="18"/>
    </row>
    <row r="934" ht="15.75" customHeight="1">
      <c r="I934" s="18"/>
    </row>
    <row r="935" ht="15.75" customHeight="1">
      <c r="I935" s="18"/>
    </row>
    <row r="936" ht="15.75" customHeight="1">
      <c r="I936" s="18"/>
    </row>
    <row r="937" ht="15.75" customHeight="1">
      <c r="I937" s="18"/>
    </row>
    <row r="938" ht="15.75" customHeight="1">
      <c r="I938" s="18"/>
    </row>
    <row r="939" ht="15.75" customHeight="1">
      <c r="I939" s="18"/>
    </row>
    <row r="940" ht="15.75" customHeight="1">
      <c r="I940" s="18"/>
    </row>
    <row r="941" ht="15.75" customHeight="1">
      <c r="I941" s="18"/>
    </row>
    <row r="942" ht="15.75" customHeight="1">
      <c r="I942" s="18"/>
    </row>
    <row r="943" ht="15.75" customHeight="1">
      <c r="I943" s="18"/>
    </row>
    <row r="944" ht="15.75" customHeight="1">
      <c r="I944" s="18"/>
    </row>
    <row r="945" ht="15.75" customHeight="1">
      <c r="I945" s="18"/>
    </row>
    <row r="946" ht="15.75" customHeight="1">
      <c r="I946" s="18"/>
    </row>
    <row r="947" ht="15.75" customHeight="1">
      <c r="I947" s="18"/>
    </row>
    <row r="948" ht="15.75" customHeight="1">
      <c r="I948" s="18"/>
    </row>
    <row r="949" ht="15.75" customHeight="1">
      <c r="I949" s="18"/>
    </row>
    <row r="950" ht="15.75" customHeight="1">
      <c r="I950" s="18"/>
    </row>
    <row r="951" ht="15.75" customHeight="1">
      <c r="I951" s="18"/>
    </row>
    <row r="952" ht="15.75" customHeight="1">
      <c r="I952" s="18"/>
    </row>
    <row r="953" ht="15.75" customHeight="1">
      <c r="I953" s="18"/>
    </row>
    <row r="954" ht="15.75" customHeight="1">
      <c r="I954" s="18"/>
    </row>
    <row r="955" ht="15.75" customHeight="1">
      <c r="I955" s="18"/>
    </row>
    <row r="956" ht="15.75" customHeight="1">
      <c r="I956" s="18"/>
    </row>
    <row r="957" ht="15.75" customHeight="1">
      <c r="I957" s="18"/>
    </row>
    <row r="958" ht="15.75" customHeight="1">
      <c r="I958" s="18"/>
    </row>
    <row r="959" ht="15.75" customHeight="1">
      <c r="I959" s="18"/>
    </row>
    <row r="960" ht="15.75" customHeight="1">
      <c r="I960" s="18"/>
    </row>
    <row r="961" ht="15.75" customHeight="1">
      <c r="I961" s="18"/>
    </row>
    <row r="962" ht="15.75" customHeight="1">
      <c r="I962" s="18"/>
    </row>
    <row r="963" ht="15.75" customHeight="1">
      <c r="I963" s="18"/>
    </row>
    <row r="964" ht="15.75" customHeight="1">
      <c r="I964" s="18"/>
    </row>
    <row r="965" ht="15.75" customHeight="1">
      <c r="I965" s="18"/>
    </row>
    <row r="966" ht="15.75" customHeight="1">
      <c r="I966" s="18"/>
    </row>
    <row r="967" ht="15.75" customHeight="1">
      <c r="I967" s="18"/>
    </row>
    <row r="968" ht="15.75" customHeight="1">
      <c r="I968" s="18"/>
    </row>
    <row r="969" ht="15.75" customHeight="1">
      <c r="I969" s="18"/>
    </row>
    <row r="970" ht="15.75" customHeight="1">
      <c r="I970" s="18"/>
    </row>
    <row r="971" ht="15.75" customHeight="1">
      <c r="I971" s="18"/>
    </row>
    <row r="972" ht="15.75" customHeight="1">
      <c r="I972" s="18"/>
    </row>
    <row r="973" ht="15.75" customHeight="1">
      <c r="I973" s="18"/>
    </row>
    <row r="974" ht="15.75" customHeight="1">
      <c r="I974" s="18"/>
    </row>
    <row r="975" ht="15.75" customHeight="1">
      <c r="I975" s="18"/>
    </row>
    <row r="976" ht="15.75" customHeight="1">
      <c r="I976" s="18"/>
    </row>
    <row r="977" ht="15.75" customHeight="1">
      <c r="I977" s="18"/>
    </row>
    <row r="978" ht="15.75" customHeight="1">
      <c r="I978" s="18"/>
    </row>
    <row r="979" ht="15.75" customHeight="1">
      <c r="I979" s="18"/>
    </row>
    <row r="980" ht="15.75" customHeight="1">
      <c r="I980" s="18"/>
    </row>
    <row r="981" ht="15.75" customHeight="1">
      <c r="I981" s="18"/>
    </row>
    <row r="982" ht="15.75" customHeight="1">
      <c r="I982" s="18"/>
    </row>
    <row r="983" ht="15.75" customHeight="1">
      <c r="I983" s="18"/>
    </row>
    <row r="984" ht="15.75" customHeight="1">
      <c r="I984" s="18"/>
    </row>
    <row r="985" ht="15.75" customHeight="1">
      <c r="I985" s="18"/>
    </row>
    <row r="986" ht="15.75" customHeight="1">
      <c r="I986" s="18"/>
    </row>
    <row r="987" ht="15.75" customHeight="1">
      <c r="I987" s="18"/>
    </row>
    <row r="988" ht="15.75" customHeight="1">
      <c r="I988" s="18"/>
    </row>
    <row r="989" ht="15.75" customHeight="1">
      <c r="I989" s="18"/>
    </row>
    <row r="990" ht="15.75" customHeight="1">
      <c r="I990" s="18"/>
    </row>
    <row r="991" ht="15.75" customHeight="1">
      <c r="I991" s="18"/>
    </row>
    <row r="992" ht="15.75" customHeight="1">
      <c r="I992" s="18"/>
    </row>
    <row r="993" ht="15.75" customHeight="1">
      <c r="I993" s="18"/>
    </row>
    <row r="994" ht="15.75" customHeight="1">
      <c r="I994" s="18"/>
    </row>
    <row r="995" ht="15.75" customHeight="1">
      <c r="I995" s="18"/>
    </row>
    <row r="996" ht="15.75" customHeight="1">
      <c r="I996" s="18"/>
    </row>
    <row r="997" ht="15.75" customHeight="1">
      <c r="I997" s="18"/>
    </row>
    <row r="998" ht="15.75" customHeight="1">
      <c r="I998" s="18"/>
    </row>
    <row r="999" ht="15.75" customHeight="1">
      <c r="I999" s="18"/>
    </row>
    <row r="1000" ht="15.75" customHeight="1">
      <c r="I1000" s="18"/>
    </row>
  </sheetData>
  <autoFilter ref="$A$1:$S$201">
    <filterColumn colId="3">
      <filters>
        <filter val="Marketing"/>
      </filters>
    </filterColumn>
    <filterColumn colId="5">
      <customFilters>
        <customFilter operator="greaterThanOrEqual" val="80"/>
      </customFilters>
    </filterColumn>
    <sortState ref="A1:S201">
      <sortCondition ref="H1:H201"/>
    </sortState>
  </autoFilter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6.57"/>
    <col customWidth="1" min="3" max="3" width="10.86"/>
    <col customWidth="1" min="4" max="4" width="11.14"/>
    <col customWidth="1" min="5" max="5" width="15.43"/>
    <col customWidth="1" min="6" max="6" width="6.43"/>
    <col customWidth="1" min="7" max="7" width="11.57"/>
    <col customWidth="1" min="8" max="8" width="10.43"/>
    <col customWidth="1" min="9" max="9" width="9.14"/>
    <col customWidth="1" min="10" max="10" width="10.29"/>
    <col customWidth="1" min="12" max="12" width="16.57"/>
    <col customWidth="1" min="14" max="14" width="18.43"/>
    <col customWidth="1" min="15" max="15" width="15.14"/>
    <col customWidth="1" min="16" max="16" width="12.57"/>
    <col customWidth="1" min="17" max="17" width="9.86"/>
    <col customWidth="1" min="18" max="18" width="21.86"/>
    <col customWidth="1" min="19" max="19" width="12.71"/>
    <col customWidth="1" min="20" max="20" width="7.43"/>
  </cols>
  <sheetData>
    <row r="1">
      <c r="A1" s="1" t="s">
        <v>0</v>
      </c>
      <c r="B1" s="11" t="s">
        <v>524</v>
      </c>
      <c r="C1" s="3"/>
      <c r="D1" s="3"/>
      <c r="E1" s="3"/>
      <c r="F1" s="3"/>
      <c r="G1" s="3"/>
      <c r="H1" s="3"/>
      <c r="I1" s="3"/>
      <c r="J1" s="3"/>
      <c r="K1" s="3"/>
      <c r="L1" s="19"/>
      <c r="M1" s="19"/>
      <c r="N1" s="19"/>
      <c r="O1" s="19"/>
      <c r="P1" s="19"/>
      <c r="Q1" s="3"/>
      <c r="R1" s="3"/>
      <c r="S1" s="3"/>
      <c r="T1" s="3"/>
      <c r="U1" s="3"/>
      <c r="V1" s="3"/>
    </row>
    <row r="2">
      <c r="A2" s="4" t="s">
        <v>21</v>
      </c>
      <c r="B2" s="20" t="str">
        <f>VLOOKUP(A2,'Employee Record'!$A2:$T$201,4,FALSE)</f>
        <v>IT</v>
      </c>
      <c r="F2" s="14"/>
      <c r="G2" s="15"/>
      <c r="H2" s="15"/>
      <c r="I2" s="10"/>
      <c r="U2" s="10"/>
    </row>
    <row r="3">
      <c r="A3" s="4" t="s">
        <v>26</v>
      </c>
      <c r="B3" s="20" t="str">
        <f>VLOOKUP(A3,'Employee Record'!$A3:$T$201,4,FALSE)</f>
        <v>Finance</v>
      </c>
      <c r="F3" s="14"/>
      <c r="G3" s="15"/>
      <c r="H3" s="15"/>
      <c r="I3" s="10"/>
      <c r="U3" s="10"/>
    </row>
    <row r="4">
      <c r="A4" s="4" t="s">
        <v>31</v>
      </c>
      <c r="B4" s="20" t="str">
        <f>VLOOKUP(A4,'Employee Record'!$A4:$T$201,4,FALSE)</f>
        <v>HR</v>
      </c>
      <c r="F4" s="14"/>
      <c r="G4" s="15"/>
      <c r="H4" s="15"/>
      <c r="I4" s="10"/>
      <c r="U4" s="10"/>
    </row>
    <row r="5">
      <c r="A5" s="4" t="s">
        <v>36</v>
      </c>
      <c r="B5" s="20" t="str">
        <f>VLOOKUP(A5,'Employee Record'!$A5:$T$201,4,FALSE)</f>
        <v>Finance</v>
      </c>
      <c r="F5" s="14"/>
      <c r="G5" s="15"/>
      <c r="H5" s="15"/>
      <c r="I5" s="10"/>
      <c r="U5" s="10"/>
    </row>
    <row r="6">
      <c r="A6" s="4" t="s">
        <v>40</v>
      </c>
      <c r="B6" s="20" t="str">
        <f>VLOOKUP(A6,'Employee Record'!$A6:$T$201,4,FALSE)</f>
        <v>Finance</v>
      </c>
      <c r="F6" s="14"/>
      <c r="G6" s="15"/>
      <c r="H6" s="15"/>
      <c r="I6" s="10"/>
      <c r="U6" s="10"/>
    </row>
    <row r="7">
      <c r="A7" s="4" t="s">
        <v>43</v>
      </c>
      <c r="B7" s="20" t="str">
        <f>VLOOKUP(A7,'Employee Record'!$A7:$T$201,4,FALSE)</f>
        <v>Sales</v>
      </c>
      <c r="F7" s="14"/>
      <c r="G7" s="15"/>
      <c r="H7" s="15"/>
      <c r="I7" s="10"/>
      <c r="U7" s="10"/>
    </row>
    <row r="8">
      <c r="A8" s="4" t="s">
        <v>48</v>
      </c>
      <c r="B8" s="20" t="str">
        <f>VLOOKUP(A8,'Employee Record'!$A8:$T$201,4,FALSE)</f>
        <v>IT</v>
      </c>
      <c r="F8" s="14"/>
      <c r="G8" s="15"/>
      <c r="H8" s="15"/>
      <c r="I8" s="10"/>
      <c r="U8" s="10"/>
    </row>
    <row r="9">
      <c r="A9" s="4" t="s">
        <v>51</v>
      </c>
      <c r="B9" s="20" t="str">
        <f>VLOOKUP(A9,'Employee Record'!$A9:$T$201,4,FALSE)</f>
        <v>Sales</v>
      </c>
      <c r="F9" s="14"/>
      <c r="G9" s="15"/>
      <c r="H9" s="15"/>
      <c r="I9" s="10"/>
      <c r="U9" s="10"/>
    </row>
    <row r="10">
      <c r="A10" s="4" t="s">
        <v>54</v>
      </c>
      <c r="B10" s="20" t="str">
        <f>VLOOKUP(A10,'Employee Record'!$A10:$T$201,4,FALSE)</f>
        <v>Finance</v>
      </c>
      <c r="F10" s="14"/>
      <c r="G10" s="15"/>
      <c r="H10" s="15"/>
      <c r="I10" s="10"/>
      <c r="U10" s="10"/>
    </row>
    <row r="11">
      <c r="A11" s="4" t="s">
        <v>57</v>
      </c>
      <c r="B11" s="20" t="str">
        <f>VLOOKUP(A11,'Employee Record'!$A11:$T$201,4,FALSE)</f>
        <v>Finance</v>
      </c>
      <c r="F11" s="14"/>
      <c r="G11" s="15"/>
      <c r="H11" s="15"/>
      <c r="I11" s="10"/>
      <c r="U11" s="10"/>
    </row>
    <row r="12">
      <c r="A12" s="4" t="s">
        <v>60</v>
      </c>
      <c r="B12" s="20" t="str">
        <f>VLOOKUP(A12,'Employee Record'!$A12:$T$201,4,FALSE)</f>
        <v>Finance</v>
      </c>
      <c r="F12" s="14"/>
      <c r="G12" s="15"/>
      <c r="H12" s="15"/>
      <c r="I12" s="10"/>
      <c r="U12" s="10"/>
    </row>
    <row r="13">
      <c r="A13" s="4" t="s">
        <v>63</v>
      </c>
      <c r="B13" s="20" t="str">
        <f>VLOOKUP(A13,'Employee Record'!$A13:$T$201,4,FALSE)</f>
        <v>HR</v>
      </c>
      <c r="F13" s="14"/>
      <c r="G13" s="15"/>
      <c r="H13" s="15"/>
      <c r="I13" s="10"/>
      <c r="U13" s="10"/>
    </row>
    <row r="14">
      <c r="A14" s="4" t="s">
        <v>65</v>
      </c>
      <c r="B14" s="20" t="str">
        <f>VLOOKUP(A14,'Employee Record'!$A14:$T$201,4,FALSE)</f>
        <v>Finance</v>
      </c>
      <c r="F14" s="14"/>
      <c r="G14" s="15"/>
      <c r="H14" s="15"/>
      <c r="I14" s="10"/>
      <c r="U14" s="10"/>
    </row>
    <row r="15">
      <c r="A15" s="4" t="s">
        <v>68</v>
      </c>
      <c r="B15" s="20" t="str">
        <f>VLOOKUP(A15,'Employee Record'!$A15:$T$201,4,FALSE)</f>
        <v>HR</v>
      </c>
      <c r="F15" s="14"/>
      <c r="G15" s="15"/>
      <c r="H15" s="15"/>
      <c r="I15" s="10"/>
      <c r="U15" s="10"/>
    </row>
    <row r="16">
      <c r="A16" s="4" t="s">
        <v>72</v>
      </c>
      <c r="B16" s="20" t="str">
        <f>VLOOKUP(A16,'Employee Record'!$A16:$T$201,4,FALSE)</f>
        <v>Marketing</v>
      </c>
      <c r="F16" s="14"/>
      <c r="G16" s="15"/>
      <c r="H16" s="15"/>
      <c r="I16" s="10"/>
      <c r="U16" s="10"/>
    </row>
    <row r="17">
      <c r="A17" s="4" t="s">
        <v>77</v>
      </c>
      <c r="B17" s="20" t="str">
        <f>VLOOKUP(A17,'Employee Record'!$A17:$T$201,4,FALSE)</f>
        <v>Sales</v>
      </c>
      <c r="F17" s="14"/>
      <c r="G17" s="15"/>
      <c r="H17" s="15"/>
      <c r="I17" s="10"/>
      <c r="U17" s="10"/>
    </row>
    <row r="18">
      <c r="A18" s="4" t="s">
        <v>80</v>
      </c>
      <c r="B18" s="20" t="str">
        <f>VLOOKUP(A18,'Employee Record'!$A18:$T$201,4,FALSE)</f>
        <v>IT</v>
      </c>
      <c r="F18" s="14"/>
      <c r="G18" s="15"/>
      <c r="H18" s="15"/>
      <c r="I18" s="10"/>
      <c r="U18" s="10"/>
    </row>
    <row r="19">
      <c r="A19" s="4" t="s">
        <v>83</v>
      </c>
      <c r="B19" s="20" t="str">
        <f>VLOOKUP(A19,'Employee Record'!$A19:$T$201,4,FALSE)</f>
        <v>Marketing</v>
      </c>
      <c r="F19" s="14"/>
      <c r="G19" s="15"/>
      <c r="H19" s="15"/>
      <c r="I19" s="10"/>
      <c r="U19" s="10"/>
    </row>
    <row r="20">
      <c r="A20" s="4" t="s">
        <v>86</v>
      </c>
      <c r="B20" s="20" t="str">
        <f>VLOOKUP(A20,'Employee Record'!$A20:$T$201,4,FALSE)</f>
        <v>IT</v>
      </c>
      <c r="F20" s="14"/>
      <c r="G20" s="15"/>
      <c r="H20" s="15"/>
      <c r="I20" s="10"/>
      <c r="U20" s="10"/>
    </row>
    <row r="21" ht="15.75" customHeight="1">
      <c r="A21" s="4" t="s">
        <v>90</v>
      </c>
      <c r="B21" s="20" t="str">
        <f>VLOOKUP(A21,'Employee Record'!$A21:$T$201,4,FALSE)</f>
        <v>IT</v>
      </c>
      <c r="F21" s="14"/>
      <c r="G21" s="15"/>
      <c r="H21" s="15"/>
      <c r="I21" s="10"/>
      <c r="U21" s="10"/>
    </row>
    <row r="22" ht="15.75" customHeight="1">
      <c r="A22" s="4" t="s">
        <v>93</v>
      </c>
      <c r="B22" s="20" t="str">
        <f>VLOOKUP(A22,'Employee Record'!$A22:$T$201,4,FALSE)</f>
        <v>Marketing</v>
      </c>
      <c r="F22" s="14"/>
      <c r="G22" s="15"/>
      <c r="H22" s="15"/>
      <c r="I22" s="10"/>
      <c r="U22" s="10"/>
    </row>
    <row r="23" ht="15.75" customHeight="1">
      <c r="A23" s="4" t="s">
        <v>95</v>
      </c>
      <c r="B23" s="20" t="str">
        <f>VLOOKUP(A23,'Employee Record'!$A23:$T$201,4,FALSE)</f>
        <v>Finance</v>
      </c>
      <c r="F23" s="14"/>
      <c r="G23" s="15"/>
      <c r="H23" s="15"/>
      <c r="I23" s="10"/>
      <c r="U23" s="10"/>
    </row>
    <row r="24" ht="15.75" customHeight="1">
      <c r="A24" s="4" t="s">
        <v>98</v>
      </c>
      <c r="B24" s="20" t="str">
        <f>VLOOKUP(A24,'Employee Record'!$A24:$T$201,4,FALSE)</f>
        <v>Sales</v>
      </c>
      <c r="F24" s="14"/>
      <c r="G24" s="15"/>
      <c r="H24" s="15"/>
      <c r="I24" s="10"/>
      <c r="U24" s="10"/>
    </row>
    <row r="25" ht="15.75" customHeight="1">
      <c r="A25" s="4" t="s">
        <v>100</v>
      </c>
      <c r="B25" s="20" t="str">
        <f>VLOOKUP(A25,'Employee Record'!$A25:$T$201,4,FALSE)</f>
        <v>Finance</v>
      </c>
      <c r="F25" s="14"/>
      <c r="G25" s="15"/>
      <c r="H25" s="15"/>
      <c r="I25" s="10"/>
      <c r="U25" s="10"/>
    </row>
    <row r="26" ht="15.75" customHeight="1">
      <c r="A26" s="4" t="s">
        <v>102</v>
      </c>
      <c r="B26" s="20" t="str">
        <f>VLOOKUP(A26,'Employee Record'!$A26:$T$201,4,FALSE)</f>
        <v>HR</v>
      </c>
      <c r="F26" s="14"/>
      <c r="G26" s="15"/>
      <c r="H26" s="15"/>
      <c r="I26" s="10"/>
      <c r="U26" s="10"/>
    </row>
    <row r="27" ht="15.75" customHeight="1">
      <c r="A27" s="4" t="s">
        <v>105</v>
      </c>
      <c r="B27" s="20" t="str">
        <f>VLOOKUP(A27,'Employee Record'!$A27:$T$201,4,FALSE)</f>
        <v>Finance</v>
      </c>
      <c r="F27" s="14"/>
      <c r="G27" s="15"/>
      <c r="H27" s="15"/>
      <c r="I27" s="10"/>
      <c r="U27" s="10"/>
    </row>
    <row r="28" ht="15.75" customHeight="1">
      <c r="A28" s="4" t="s">
        <v>108</v>
      </c>
      <c r="B28" s="20" t="str">
        <f>VLOOKUP(A28,'Employee Record'!$A28:$T$201,4,FALSE)</f>
        <v>HR</v>
      </c>
      <c r="F28" s="14"/>
      <c r="G28" s="15"/>
      <c r="H28" s="15"/>
      <c r="I28" s="10"/>
      <c r="U28" s="10"/>
    </row>
    <row r="29" ht="15.75" customHeight="1">
      <c r="A29" s="4" t="s">
        <v>111</v>
      </c>
      <c r="B29" s="20" t="str">
        <f>VLOOKUP(A29,'Employee Record'!$A29:$T$201,4,FALSE)</f>
        <v>Sales</v>
      </c>
      <c r="F29" s="14"/>
      <c r="G29" s="15"/>
      <c r="H29" s="15"/>
      <c r="I29" s="10"/>
      <c r="U29" s="10"/>
    </row>
    <row r="30" ht="15.75" customHeight="1">
      <c r="A30" s="4" t="s">
        <v>114</v>
      </c>
      <c r="B30" s="20" t="str">
        <f>VLOOKUP(A30,'Employee Record'!$A30:$T$201,4,FALSE)</f>
        <v>Marketing</v>
      </c>
      <c r="F30" s="14"/>
      <c r="G30" s="15"/>
      <c r="H30" s="15"/>
      <c r="I30" s="10"/>
      <c r="U30" s="10"/>
    </row>
    <row r="31" ht="15.75" customHeight="1">
      <c r="A31" s="4" t="s">
        <v>117</v>
      </c>
      <c r="B31" s="20" t="str">
        <f>VLOOKUP(A31,'Employee Record'!$A31:$T$201,4,FALSE)</f>
        <v>IT</v>
      </c>
      <c r="F31" s="14"/>
      <c r="G31" s="15"/>
      <c r="H31" s="15"/>
      <c r="I31" s="10"/>
      <c r="U31" s="10"/>
    </row>
    <row r="32" ht="15.75" customHeight="1">
      <c r="A32" s="4" t="s">
        <v>120</v>
      </c>
      <c r="B32" s="20" t="str">
        <f>VLOOKUP(A32,'Employee Record'!$A32:$T$201,4,FALSE)</f>
        <v>Sales</v>
      </c>
      <c r="F32" s="14"/>
      <c r="G32" s="15"/>
      <c r="H32" s="15"/>
      <c r="I32" s="10"/>
      <c r="U32" s="10"/>
    </row>
    <row r="33" ht="15.75" customHeight="1">
      <c r="A33" s="4" t="s">
        <v>123</v>
      </c>
      <c r="B33" s="20" t="str">
        <f>VLOOKUP(A33,'Employee Record'!$A33:$T$201,4,FALSE)</f>
        <v>Marketing</v>
      </c>
      <c r="F33" s="14"/>
      <c r="G33" s="15"/>
      <c r="H33" s="15"/>
      <c r="I33" s="10"/>
      <c r="U33" s="10"/>
    </row>
    <row r="34" ht="15.75" customHeight="1">
      <c r="A34" s="4" t="s">
        <v>126</v>
      </c>
      <c r="B34" s="20" t="str">
        <f>VLOOKUP(A34,'Employee Record'!$A34:$T$201,4,FALSE)</f>
        <v>Marketing</v>
      </c>
      <c r="F34" s="14"/>
      <c r="G34" s="15"/>
      <c r="H34" s="15"/>
      <c r="I34" s="10"/>
      <c r="U34" s="10"/>
    </row>
    <row r="35" ht="15.75" customHeight="1">
      <c r="A35" s="4" t="s">
        <v>129</v>
      </c>
      <c r="B35" s="20" t="str">
        <f>VLOOKUP(A35,'Employee Record'!$A35:$T$201,4,FALSE)</f>
        <v>Marketing</v>
      </c>
      <c r="F35" s="14"/>
      <c r="G35" s="15"/>
      <c r="H35" s="15"/>
      <c r="I35" s="10"/>
      <c r="U35" s="10"/>
    </row>
    <row r="36" ht="15.75" customHeight="1">
      <c r="A36" s="4" t="s">
        <v>131</v>
      </c>
      <c r="B36" s="20" t="str">
        <f>VLOOKUP(A36,'Employee Record'!$A36:$T$201,4,FALSE)</f>
        <v>Finance</v>
      </c>
      <c r="F36" s="14"/>
      <c r="G36" s="15"/>
      <c r="H36" s="15"/>
      <c r="I36" s="10"/>
      <c r="U36" s="10"/>
    </row>
    <row r="37" ht="15.75" customHeight="1">
      <c r="A37" s="4" t="s">
        <v>134</v>
      </c>
      <c r="B37" s="20" t="str">
        <f>VLOOKUP(A37,'Employee Record'!$A37:$T$201,4,FALSE)</f>
        <v>Sales</v>
      </c>
      <c r="F37" s="14"/>
      <c r="G37" s="15"/>
      <c r="H37" s="15"/>
      <c r="I37" s="10"/>
      <c r="U37" s="10"/>
    </row>
    <row r="38" ht="15.75" customHeight="1">
      <c r="A38" s="4" t="s">
        <v>137</v>
      </c>
      <c r="B38" s="20" t="str">
        <f>VLOOKUP(A38,'Employee Record'!$A38:$T$201,4,FALSE)</f>
        <v>Sales</v>
      </c>
      <c r="F38" s="14"/>
      <c r="G38" s="15"/>
      <c r="H38" s="15"/>
      <c r="I38" s="10"/>
      <c r="U38" s="10"/>
    </row>
    <row r="39" ht="15.75" customHeight="1">
      <c r="A39" s="4" t="s">
        <v>140</v>
      </c>
      <c r="B39" s="20" t="str">
        <f>VLOOKUP(A39,'Employee Record'!$A39:$T$201,4,FALSE)</f>
        <v>IT</v>
      </c>
      <c r="F39" s="14"/>
      <c r="G39" s="15"/>
      <c r="H39" s="15"/>
      <c r="I39" s="10"/>
      <c r="U39" s="10"/>
    </row>
    <row r="40" ht="15.75" customHeight="1">
      <c r="A40" s="4" t="s">
        <v>143</v>
      </c>
      <c r="B40" s="20" t="str">
        <f>VLOOKUP(A40,'Employee Record'!$A40:$T$201,4,FALSE)</f>
        <v>IT</v>
      </c>
      <c r="F40" s="14"/>
      <c r="G40" s="15"/>
      <c r="H40" s="15"/>
      <c r="I40" s="10"/>
      <c r="U40" s="10"/>
    </row>
    <row r="41" ht="15.75" customHeight="1">
      <c r="A41" s="4" t="s">
        <v>146</v>
      </c>
      <c r="B41" s="20" t="str">
        <f>VLOOKUP(A41,'Employee Record'!$A41:$T$201,4,FALSE)</f>
        <v>Marketing</v>
      </c>
      <c r="F41" s="14"/>
      <c r="G41" s="15"/>
      <c r="H41" s="15"/>
      <c r="I41" s="10"/>
      <c r="U41" s="10"/>
    </row>
    <row r="42" ht="15.75" customHeight="1">
      <c r="A42" s="4" t="s">
        <v>149</v>
      </c>
      <c r="B42" s="20" t="str">
        <f>VLOOKUP(A42,'Employee Record'!$A42:$T$201,4,FALSE)</f>
        <v>Finance</v>
      </c>
      <c r="F42" s="14"/>
      <c r="G42" s="15"/>
      <c r="H42" s="15"/>
      <c r="I42" s="10"/>
      <c r="U42" s="10"/>
    </row>
    <row r="43" ht="15.75" customHeight="1">
      <c r="A43" s="4" t="s">
        <v>152</v>
      </c>
      <c r="B43" s="20" t="str">
        <f>VLOOKUP(A43,'Employee Record'!$A43:$T$201,4,FALSE)</f>
        <v>Finance</v>
      </c>
      <c r="F43" s="14"/>
      <c r="G43" s="15"/>
      <c r="H43" s="15"/>
      <c r="I43" s="10"/>
      <c r="U43" s="10"/>
    </row>
    <row r="44" ht="15.75" customHeight="1">
      <c r="A44" s="4" t="s">
        <v>154</v>
      </c>
      <c r="B44" s="20" t="str">
        <f>VLOOKUP(A44,'Employee Record'!$A44:$T$201,4,FALSE)</f>
        <v>HR</v>
      </c>
      <c r="F44" s="14"/>
      <c r="G44" s="15"/>
      <c r="H44" s="15"/>
      <c r="I44" s="10"/>
      <c r="U44" s="10"/>
    </row>
    <row r="45" ht="15.75" customHeight="1">
      <c r="A45" s="4" t="s">
        <v>157</v>
      </c>
      <c r="B45" s="20" t="str">
        <f>VLOOKUP(A45,'Employee Record'!$A45:$T$201,4,FALSE)</f>
        <v>Finance</v>
      </c>
      <c r="F45" s="14"/>
      <c r="G45" s="15"/>
      <c r="H45" s="15"/>
      <c r="I45" s="10"/>
      <c r="U45" s="10"/>
    </row>
    <row r="46" ht="15.75" customHeight="1">
      <c r="A46" s="4" t="s">
        <v>160</v>
      </c>
      <c r="B46" s="20" t="str">
        <f>VLOOKUP(A46,'Employee Record'!$A46:$T$201,4,FALSE)</f>
        <v>HR</v>
      </c>
      <c r="F46" s="14"/>
      <c r="G46" s="15"/>
      <c r="H46" s="15"/>
      <c r="I46" s="10"/>
      <c r="U46" s="10"/>
    </row>
    <row r="47" ht="15.75" customHeight="1">
      <c r="A47" s="4" t="s">
        <v>162</v>
      </c>
      <c r="B47" s="20" t="str">
        <f>VLOOKUP(A47,'Employee Record'!$A47:$T$201,4,FALSE)</f>
        <v>Finance</v>
      </c>
      <c r="F47" s="14"/>
      <c r="G47" s="15"/>
      <c r="H47" s="15"/>
      <c r="I47" s="10"/>
      <c r="U47" s="10"/>
    </row>
    <row r="48" ht="15.75" customHeight="1">
      <c r="A48" s="4" t="s">
        <v>165</v>
      </c>
      <c r="B48" s="20" t="str">
        <f>VLOOKUP(A48,'Employee Record'!$A48:$T$201,4,FALSE)</f>
        <v>HR</v>
      </c>
      <c r="F48" s="14"/>
      <c r="G48" s="15"/>
      <c r="H48" s="15"/>
      <c r="I48" s="10"/>
      <c r="U48" s="10"/>
    </row>
    <row r="49" ht="15.75" customHeight="1">
      <c r="A49" s="4" t="s">
        <v>168</v>
      </c>
      <c r="B49" s="20" t="str">
        <f>VLOOKUP(A49,'Employee Record'!$A49:$T$201,4,FALSE)</f>
        <v>Marketing</v>
      </c>
      <c r="F49" s="14"/>
      <c r="G49" s="15"/>
      <c r="H49" s="15"/>
      <c r="I49" s="10"/>
      <c r="U49" s="10"/>
    </row>
    <row r="50" ht="15.75" customHeight="1">
      <c r="A50" s="4" t="s">
        <v>171</v>
      </c>
      <c r="B50" s="20" t="str">
        <f>VLOOKUP(A50,'Employee Record'!$A50:$T$201,4,FALSE)</f>
        <v>Marketing</v>
      </c>
      <c r="F50" s="14"/>
      <c r="G50" s="15"/>
      <c r="H50" s="15"/>
      <c r="I50" s="10"/>
      <c r="U50" s="10"/>
    </row>
    <row r="51" ht="15.75" customHeight="1">
      <c r="A51" s="4" t="s">
        <v>174</v>
      </c>
      <c r="B51" s="20" t="str">
        <f>VLOOKUP(A51,'Employee Record'!$A51:$T$201,4,FALSE)</f>
        <v>Finance</v>
      </c>
      <c r="F51" s="14"/>
      <c r="G51" s="15"/>
      <c r="H51" s="15"/>
      <c r="I51" s="10"/>
      <c r="U51" s="10"/>
    </row>
    <row r="52" ht="15.75" customHeight="1">
      <c r="A52" s="4" t="s">
        <v>175</v>
      </c>
      <c r="B52" s="20" t="str">
        <f>VLOOKUP(A52,'Employee Record'!$A52:$T$201,4,FALSE)</f>
        <v>Sales</v>
      </c>
      <c r="F52" s="14"/>
      <c r="G52" s="15"/>
      <c r="H52" s="15"/>
      <c r="I52" s="10"/>
      <c r="U52" s="10"/>
    </row>
    <row r="53" ht="15.75" customHeight="1">
      <c r="A53" s="4" t="s">
        <v>178</v>
      </c>
      <c r="B53" s="20" t="str">
        <f>VLOOKUP(A53,'Employee Record'!$A53:$T$201,4,FALSE)</f>
        <v>IT</v>
      </c>
      <c r="F53" s="14"/>
      <c r="G53" s="15"/>
      <c r="H53" s="15"/>
      <c r="I53" s="10"/>
      <c r="U53" s="10"/>
    </row>
    <row r="54" ht="15.75" customHeight="1">
      <c r="A54" s="4" t="s">
        <v>181</v>
      </c>
      <c r="B54" s="20" t="str">
        <f>VLOOKUP(A54,'Employee Record'!$A54:$T$201,4,FALSE)</f>
        <v>Sales</v>
      </c>
      <c r="F54" s="14"/>
      <c r="G54" s="15"/>
      <c r="H54" s="15"/>
      <c r="I54" s="10"/>
      <c r="U54" s="10"/>
    </row>
    <row r="55" ht="15.75" customHeight="1">
      <c r="A55" s="4" t="s">
        <v>184</v>
      </c>
      <c r="B55" s="20" t="str">
        <f>VLOOKUP(A55,'Employee Record'!$A55:$T$201,4,FALSE)</f>
        <v>Finance</v>
      </c>
      <c r="F55" s="14"/>
      <c r="G55" s="15"/>
      <c r="H55" s="15"/>
      <c r="I55" s="10"/>
      <c r="U55" s="10"/>
    </row>
    <row r="56" ht="15.75" customHeight="1">
      <c r="A56" s="4" t="s">
        <v>187</v>
      </c>
      <c r="B56" s="20" t="str">
        <f>VLOOKUP(A56,'Employee Record'!$A56:$T$201,4,FALSE)</f>
        <v>IT</v>
      </c>
      <c r="F56" s="14"/>
      <c r="G56" s="15"/>
      <c r="H56" s="15"/>
      <c r="I56" s="10"/>
      <c r="U56" s="10"/>
    </row>
    <row r="57" ht="15.75" customHeight="1">
      <c r="A57" s="4" t="s">
        <v>190</v>
      </c>
      <c r="B57" s="20" t="str">
        <f>VLOOKUP(A57,'Employee Record'!$A57:$T$201,4,FALSE)</f>
        <v>Marketing</v>
      </c>
      <c r="F57" s="14"/>
      <c r="G57" s="15"/>
      <c r="H57" s="15"/>
      <c r="I57" s="10"/>
      <c r="U57" s="10"/>
    </row>
    <row r="58" ht="15.75" customHeight="1">
      <c r="A58" s="4" t="s">
        <v>193</v>
      </c>
      <c r="B58" s="20" t="str">
        <f>VLOOKUP(A58,'Employee Record'!$A58:$T$201,4,FALSE)</f>
        <v>Marketing</v>
      </c>
      <c r="F58" s="14"/>
      <c r="G58" s="15"/>
      <c r="H58" s="15"/>
      <c r="I58" s="10"/>
      <c r="U58" s="10"/>
    </row>
    <row r="59" ht="15.75" customHeight="1">
      <c r="A59" s="4" t="s">
        <v>196</v>
      </c>
      <c r="B59" s="20" t="str">
        <f>VLOOKUP(A59,'Employee Record'!$A59:$T$201,4,FALSE)</f>
        <v>IT</v>
      </c>
      <c r="F59" s="14"/>
      <c r="G59" s="15"/>
      <c r="H59" s="15"/>
      <c r="I59" s="10"/>
      <c r="U59" s="10"/>
    </row>
    <row r="60" ht="15.75" customHeight="1">
      <c r="A60" s="4" t="s">
        <v>198</v>
      </c>
      <c r="B60" s="20" t="str">
        <f>VLOOKUP(A60,'Employee Record'!$A60:$T$201,4,FALSE)</f>
        <v>HR</v>
      </c>
      <c r="F60" s="14"/>
      <c r="G60" s="15"/>
      <c r="H60" s="15"/>
      <c r="I60" s="10"/>
      <c r="U60" s="10"/>
    </row>
    <row r="61" ht="15.75" customHeight="1">
      <c r="A61" s="4" t="s">
        <v>201</v>
      </c>
      <c r="B61" s="20" t="str">
        <f>VLOOKUP(A61,'Employee Record'!$A61:$T$201,4,FALSE)</f>
        <v>Sales</v>
      </c>
      <c r="F61" s="14"/>
      <c r="G61" s="15"/>
      <c r="H61" s="15"/>
      <c r="I61" s="10"/>
      <c r="U61" s="10"/>
    </row>
    <row r="62" ht="15.75" customHeight="1">
      <c r="A62" s="4" t="s">
        <v>204</v>
      </c>
      <c r="B62" s="20" t="str">
        <f>VLOOKUP(A62,'Employee Record'!$A62:$T$201,4,FALSE)</f>
        <v>IT</v>
      </c>
      <c r="F62" s="14"/>
      <c r="G62" s="15"/>
      <c r="H62" s="15"/>
      <c r="I62" s="10"/>
      <c r="U62" s="10"/>
    </row>
    <row r="63" ht="15.75" customHeight="1">
      <c r="A63" s="4" t="s">
        <v>208</v>
      </c>
      <c r="B63" s="20" t="str">
        <f>VLOOKUP(A63,'Employee Record'!$A63:$T$201,4,FALSE)</f>
        <v>IT</v>
      </c>
      <c r="F63" s="14"/>
      <c r="G63" s="15"/>
      <c r="H63" s="15"/>
      <c r="I63" s="10"/>
      <c r="U63" s="10"/>
    </row>
    <row r="64" ht="15.75" customHeight="1">
      <c r="A64" s="4" t="s">
        <v>211</v>
      </c>
      <c r="B64" s="20" t="str">
        <f>VLOOKUP(A64,'Employee Record'!$A64:$T$201,4,FALSE)</f>
        <v>Finance</v>
      </c>
      <c r="F64" s="14"/>
      <c r="G64" s="15"/>
      <c r="H64" s="15"/>
      <c r="I64" s="10"/>
      <c r="U64" s="10"/>
    </row>
    <row r="65" ht="15.75" customHeight="1">
      <c r="A65" s="4" t="s">
        <v>214</v>
      </c>
      <c r="B65" s="20" t="str">
        <f>VLOOKUP(A65,'Employee Record'!$A65:$T$201,4,FALSE)</f>
        <v>Sales</v>
      </c>
      <c r="F65" s="14"/>
      <c r="G65" s="15"/>
      <c r="H65" s="15"/>
      <c r="I65" s="10"/>
      <c r="U65" s="10"/>
    </row>
    <row r="66" ht="15.75" customHeight="1">
      <c r="A66" s="4" t="s">
        <v>218</v>
      </c>
      <c r="B66" s="20" t="str">
        <f>VLOOKUP(A66,'Employee Record'!$A66:$T$201,4,FALSE)</f>
        <v>HR</v>
      </c>
      <c r="F66" s="14"/>
      <c r="G66" s="15"/>
      <c r="H66" s="15"/>
      <c r="I66" s="10"/>
      <c r="U66" s="10"/>
    </row>
    <row r="67" ht="15.75" customHeight="1">
      <c r="A67" s="4" t="s">
        <v>221</v>
      </c>
      <c r="B67" s="20" t="str">
        <f>VLOOKUP(A67,'Employee Record'!$A67:$T$201,4,FALSE)</f>
        <v>Sales</v>
      </c>
      <c r="F67" s="14"/>
      <c r="G67" s="15"/>
      <c r="H67" s="15"/>
      <c r="I67" s="10"/>
      <c r="U67" s="10"/>
    </row>
    <row r="68" ht="15.75" customHeight="1">
      <c r="A68" s="4" t="s">
        <v>224</v>
      </c>
      <c r="B68" s="20" t="str">
        <f>VLOOKUP(A68,'Employee Record'!$A68:$T$201,4,FALSE)</f>
        <v>Sales</v>
      </c>
      <c r="F68" s="14"/>
      <c r="G68" s="15"/>
      <c r="H68" s="15"/>
      <c r="I68" s="10"/>
      <c r="U68" s="10"/>
    </row>
    <row r="69" ht="15.75" customHeight="1">
      <c r="A69" s="4" t="s">
        <v>227</v>
      </c>
      <c r="B69" s="20" t="str">
        <f>VLOOKUP(A69,'Employee Record'!$A69:$T$201,4,FALSE)</f>
        <v>Finance</v>
      </c>
      <c r="F69" s="14"/>
      <c r="G69" s="15"/>
      <c r="H69" s="15"/>
      <c r="I69" s="10"/>
      <c r="U69" s="10"/>
    </row>
    <row r="70" ht="15.75" customHeight="1">
      <c r="A70" s="4" t="s">
        <v>230</v>
      </c>
      <c r="B70" s="20" t="str">
        <f>VLOOKUP(A70,'Employee Record'!$A70:$T$201,4,FALSE)</f>
        <v>Finance</v>
      </c>
      <c r="F70" s="14"/>
      <c r="G70" s="15"/>
      <c r="H70" s="15"/>
      <c r="I70" s="10"/>
      <c r="U70" s="10"/>
    </row>
    <row r="71" ht="15.75" customHeight="1">
      <c r="A71" s="4" t="s">
        <v>233</v>
      </c>
      <c r="B71" s="20" t="str">
        <f>VLOOKUP(A71,'Employee Record'!$A71:$T$201,4,FALSE)</f>
        <v>Marketing</v>
      </c>
      <c r="F71" s="14"/>
      <c r="G71" s="15"/>
      <c r="H71" s="15"/>
      <c r="I71" s="10"/>
      <c r="U71" s="10"/>
    </row>
    <row r="72" ht="15.75" customHeight="1">
      <c r="A72" s="4" t="s">
        <v>236</v>
      </c>
      <c r="B72" s="20" t="str">
        <f>VLOOKUP(A72,'Employee Record'!$A72:$T$201,4,FALSE)</f>
        <v>Finance</v>
      </c>
      <c r="F72" s="14"/>
      <c r="G72" s="15"/>
      <c r="H72" s="15"/>
      <c r="I72" s="10"/>
      <c r="U72" s="10"/>
    </row>
    <row r="73" ht="15.75" customHeight="1">
      <c r="A73" s="4" t="s">
        <v>237</v>
      </c>
      <c r="B73" s="20" t="str">
        <f>VLOOKUP(A73,'Employee Record'!$A73:$T$201,4,FALSE)</f>
        <v>IT</v>
      </c>
      <c r="F73" s="14"/>
      <c r="G73" s="15"/>
      <c r="H73" s="15"/>
      <c r="I73" s="10"/>
      <c r="U73" s="10"/>
    </row>
    <row r="74" ht="15.75" customHeight="1">
      <c r="A74" s="4" t="s">
        <v>240</v>
      </c>
      <c r="B74" s="20" t="str">
        <f>VLOOKUP(A74,'Employee Record'!$A74:$T$201,4,FALSE)</f>
        <v>HR</v>
      </c>
      <c r="F74" s="14"/>
      <c r="G74" s="15"/>
      <c r="H74" s="15"/>
      <c r="I74" s="10"/>
      <c r="U74" s="10"/>
    </row>
    <row r="75" ht="15.75" customHeight="1">
      <c r="A75" s="4" t="s">
        <v>242</v>
      </c>
      <c r="B75" s="20" t="str">
        <f>VLOOKUP(A75,'Employee Record'!$A75:$T$201,4,FALSE)</f>
        <v>Finance</v>
      </c>
      <c r="F75" s="14"/>
      <c r="G75" s="15"/>
      <c r="H75" s="15"/>
      <c r="I75" s="10"/>
      <c r="U75" s="10"/>
    </row>
    <row r="76" ht="15.75" customHeight="1">
      <c r="A76" s="4" t="s">
        <v>245</v>
      </c>
      <c r="B76" s="20" t="str">
        <f>VLOOKUP(A76,'Employee Record'!$A76:$T$201,4,FALSE)</f>
        <v>IT</v>
      </c>
      <c r="F76" s="14"/>
      <c r="G76" s="15"/>
      <c r="H76" s="15"/>
      <c r="I76" s="10"/>
      <c r="U76" s="10"/>
    </row>
    <row r="77" ht="15.75" customHeight="1">
      <c r="A77" s="4" t="s">
        <v>247</v>
      </c>
      <c r="B77" s="20" t="str">
        <f>VLOOKUP(A77,'Employee Record'!$A77:$T$201,4,FALSE)</f>
        <v>Marketing</v>
      </c>
      <c r="F77" s="14"/>
      <c r="G77" s="15"/>
      <c r="H77" s="15"/>
      <c r="I77" s="10"/>
      <c r="U77" s="10"/>
    </row>
    <row r="78" ht="15.75" customHeight="1">
      <c r="A78" s="4" t="s">
        <v>250</v>
      </c>
      <c r="B78" s="20" t="str">
        <f>VLOOKUP(A78,'Employee Record'!$A78:$T$201,4,FALSE)</f>
        <v>Finance</v>
      </c>
      <c r="F78" s="14"/>
      <c r="G78" s="15"/>
      <c r="H78" s="15"/>
      <c r="I78" s="10"/>
      <c r="U78" s="10"/>
    </row>
    <row r="79" ht="15.75" customHeight="1">
      <c r="A79" s="4" t="s">
        <v>251</v>
      </c>
      <c r="B79" s="20" t="str">
        <f>VLOOKUP(A79,'Employee Record'!$A79:$T$201,4,FALSE)</f>
        <v>Sales</v>
      </c>
      <c r="F79" s="14"/>
      <c r="G79" s="15"/>
      <c r="H79" s="15"/>
      <c r="I79" s="10"/>
      <c r="U79" s="10"/>
    </row>
    <row r="80" ht="15.75" customHeight="1">
      <c r="A80" s="4" t="s">
        <v>254</v>
      </c>
      <c r="B80" s="20" t="str">
        <f>VLOOKUP(A80,'Employee Record'!$A80:$T$201,4,FALSE)</f>
        <v>IT</v>
      </c>
      <c r="F80" s="14"/>
      <c r="G80" s="15"/>
      <c r="H80" s="15"/>
      <c r="I80" s="10"/>
      <c r="U80" s="10"/>
    </row>
    <row r="81" ht="15.75" customHeight="1">
      <c r="A81" s="4" t="s">
        <v>257</v>
      </c>
      <c r="B81" s="20" t="str">
        <f>VLOOKUP(A81,'Employee Record'!$A81:$T$201,4,FALSE)</f>
        <v>IT</v>
      </c>
      <c r="F81" s="14"/>
      <c r="G81" s="15"/>
      <c r="H81" s="15"/>
      <c r="I81" s="10"/>
      <c r="U81" s="10"/>
    </row>
    <row r="82" ht="15.75" customHeight="1">
      <c r="A82" s="4" t="s">
        <v>259</v>
      </c>
      <c r="B82" s="20" t="str">
        <f>VLOOKUP(A82,'Employee Record'!$A82:$T$201,4,FALSE)</f>
        <v>HR</v>
      </c>
      <c r="F82" s="14"/>
      <c r="G82" s="15"/>
      <c r="H82" s="15"/>
      <c r="I82" s="10"/>
      <c r="U82" s="10"/>
    </row>
    <row r="83" ht="15.75" customHeight="1">
      <c r="A83" s="4" t="s">
        <v>262</v>
      </c>
      <c r="B83" s="20" t="str">
        <f>VLOOKUP(A83,'Employee Record'!$A83:$T$201,4,FALSE)</f>
        <v>HR</v>
      </c>
      <c r="F83" s="14"/>
      <c r="G83" s="15"/>
      <c r="H83" s="15"/>
      <c r="I83" s="10"/>
      <c r="U83" s="10"/>
    </row>
    <row r="84" ht="15.75" customHeight="1">
      <c r="A84" s="4" t="s">
        <v>264</v>
      </c>
      <c r="B84" s="20" t="str">
        <f>VLOOKUP(A84,'Employee Record'!$A84:$T$201,4,FALSE)</f>
        <v>Sales</v>
      </c>
      <c r="F84" s="14"/>
      <c r="G84" s="15"/>
      <c r="H84" s="15"/>
      <c r="I84" s="10"/>
      <c r="U84" s="10"/>
    </row>
    <row r="85" ht="15.75" customHeight="1">
      <c r="A85" s="4" t="s">
        <v>266</v>
      </c>
      <c r="B85" s="20" t="str">
        <f>VLOOKUP(A85,'Employee Record'!$A85:$T$201,4,FALSE)</f>
        <v>Finance</v>
      </c>
      <c r="F85" s="14"/>
      <c r="G85" s="15"/>
      <c r="H85" s="15"/>
      <c r="I85" s="10"/>
      <c r="U85" s="10"/>
    </row>
    <row r="86" ht="15.75" customHeight="1">
      <c r="A86" s="4" t="s">
        <v>269</v>
      </c>
      <c r="B86" s="20" t="str">
        <f>VLOOKUP(A86,'Employee Record'!$A86:$T$201,4,FALSE)</f>
        <v>Sales</v>
      </c>
      <c r="F86" s="14"/>
      <c r="G86" s="15"/>
      <c r="H86" s="15"/>
      <c r="I86" s="10"/>
      <c r="U86" s="10"/>
    </row>
    <row r="87" ht="15.75" customHeight="1">
      <c r="A87" s="4" t="s">
        <v>272</v>
      </c>
      <c r="B87" s="20" t="str">
        <f>VLOOKUP(A87,'Employee Record'!$A87:$T$201,4,FALSE)</f>
        <v>IT</v>
      </c>
      <c r="F87" s="14"/>
      <c r="G87" s="15"/>
      <c r="H87" s="15"/>
      <c r="I87" s="10"/>
      <c r="U87" s="10"/>
    </row>
    <row r="88" ht="15.75" customHeight="1">
      <c r="A88" s="4" t="s">
        <v>274</v>
      </c>
      <c r="B88" s="20" t="str">
        <f>VLOOKUP(A88,'Employee Record'!$A88:$T$201,4,FALSE)</f>
        <v>Sales</v>
      </c>
      <c r="F88" s="14"/>
      <c r="G88" s="15"/>
      <c r="H88" s="15"/>
      <c r="I88" s="10"/>
      <c r="U88" s="10"/>
    </row>
    <row r="89" ht="15.75" customHeight="1">
      <c r="A89" s="4" t="s">
        <v>276</v>
      </c>
      <c r="B89" s="20" t="str">
        <f>VLOOKUP(A89,'Employee Record'!$A89:$T$201,4,FALSE)</f>
        <v>Finance</v>
      </c>
      <c r="F89" s="14"/>
      <c r="G89" s="15"/>
      <c r="H89" s="15"/>
      <c r="I89" s="10"/>
      <c r="U89" s="10"/>
    </row>
    <row r="90" ht="15.75" customHeight="1">
      <c r="A90" s="4" t="s">
        <v>278</v>
      </c>
      <c r="B90" s="20" t="str">
        <f>VLOOKUP(A90,'Employee Record'!$A90:$T$201,4,FALSE)</f>
        <v>Finance</v>
      </c>
      <c r="F90" s="14"/>
      <c r="G90" s="15"/>
      <c r="H90" s="15"/>
      <c r="I90" s="10"/>
      <c r="U90" s="10"/>
    </row>
    <row r="91" ht="15.75" customHeight="1">
      <c r="A91" s="4" t="s">
        <v>281</v>
      </c>
      <c r="B91" s="20" t="str">
        <f>VLOOKUP(A91,'Employee Record'!$A91:$T$201,4,FALSE)</f>
        <v>IT</v>
      </c>
      <c r="F91" s="14"/>
      <c r="G91" s="15"/>
      <c r="H91" s="15"/>
      <c r="I91" s="10"/>
      <c r="U91" s="10"/>
    </row>
    <row r="92" ht="15.75" customHeight="1">
      <c r="A92" s="4" t="s">
        <v>283</v>
      </c>
      <c r="B92" s="20" t="str">
        <f>VLOOKUP(A92,'Employee Record'!$A92:$T$201,4,FALSE)</f>
        <v>Sales</v>
      </c>
      <c r="F92" s="14"/>
      <c r="G92" s="15"/>
      <c r="H92" s="15"/>
      <c r="I92" s="10"/>
      <c r="U92" s="10"/>
    </row>
    <row r="93" ht="15.75" customHeight="1">
      <c r="A93" s="4" t="s">
        <v>286</v>
      </c>
      <c r="B93" s="20" t="str">
        <f>VLOOKUP(A93,'Employee Record'!$A93:$T$201,4,FALSE)</f>
        <v>Sales</v>
      </c>
      <c r="F93" s="14"/>
      <c r="G93" s="15"/>
      <c r="H93" s="15"/>
      <c r="I93" s="10"/>
      <c r="U93" s="10"/>
    </row>
    <row r="94" ht="15.75" customHeight="1">
      <c r="A94" s="4" t="s">
        <v>288</v>
      </c>
      <c r="B94" s="20" t="str">
        <f>VLOOKUP(A94,'Employee Record'!$A94:$T$201,4,FALSE)</f>
        <v>Finance</v>
      </c>
      <c r="F94" s="14"/>
      <c r="G94" s="15"/>
      <c r="H94" s="15"/>
      <c r="I94" s="10"/>
      <c r="U94" s="10"/>
    </row>
    <row r="95" ht="15.75" customHeight="1">
      <c r="A95" s="4" t="s">
        <v>290</v>
      </c>
      <c r="B95" s="20" t="str">
        <f>VLOOKUP(A95,'Employee Record'!$A95:$T$201,4,FALSE)</f>
        <v>Finance</v>
      </c>
      <c r="F95" s="14"/>
      <c r="G95" s="15"/>
      <c r="H95" s="15"/>
      <c r="I95" s="10"/>
      <c r="U95" s="10"/>
    </row>
    <row r="96" ht="15.75" customHeight="1">
      <c r="A96" s="4" t="s">
        <v>291</v>
      </c>
      <c r="B96" s="20" t="str">
        <f>VLOOKUP(A96,'Employee Record'!$A96:$T$201,4,FALSE)</f>
        <v>HR</v>
      </c>
      <c r="F96" s="14"/>
      <c r="G96" s="15"/>
      <c r="H96" s="15"/>
      <c r="I96" s="10"/>
      <c r="U96" s="10"/>
    </row>
    <row r="97" ht="15.75" customHeight="1">
      <c r="A97" s="4" t="s">
        <v>293</v>
      </c>
      <c r="B97" s="20" t="str">
        <f>VLOOKUP(A97,'Employee Record'!$A97:$T$201,4,FALSE)</f>
        <v>IT</v>
      </c>
      <c r="F97" s="14"/>
      <c r="G97" s="15"/>
      <c r="H97" s="15"/>
      <c r="I97" s="10"/>
      <c r="U97" s="10"/>
    </row>
    <row r="98" ht="15.75" customHeight="1">
      <c r="A98" s="4" t="s">
        <v>296</v>
      </c>
      <c r="B98" s="20" t="str">
        <f>VLOOKUP(A98,'Employee Record'!$A98:$T$201,4,FALSE)</f>
        <v>Sales</v>
      </c>
      <c r="F98" s="14"/>
      <c r="G98" s="15"/>
      <c r="H98" s="15"/>
      <c r="I98" s="10"/>
      <c r="U98" s="10"/>
    </row>
    <row r="99" ht="15.75" customHeight="1">
      <c r="A99" s="4" t="s">
        <v>299</v>
      </c>
      <c r="B99" s="20" t="str">
        <f>VLOOKUP(A99,'Employee Record'!$A99:$T$201,4,FALSE)</f>
        <v>IT</v>
      </c>
      <c r="F99" s="14"/>
      <c r="G99" s="15"/>
      <c r="H99" s="15"/>
      <c r="I99" s="10"/>
      <c r="U99" s="10"/>
    </row>
    <row r="100" ht="15.75" customHeight="1">
      <c r="A100" s="4" t="s">
        <v>301</v>
      </c>
      <c r="B100" s="20" t="str">
        <f>VLOOKUP(A100,'Employee Record'!$A100:$T$201,4,FALSE)</f>
        <v>IT</v>
      </c>
      <c r="F100" s="14"/>
      <c r="G100" s="15"/>
      <c r="H100" s="15"/>
      <c r="I100" s="10"/>
      <c r="U100" s="10"/>
    </row>
    <row r="101" ht="15.75" customHeight="1">
      <c r="A101" s="4" t="s">
        <v>303</v>
      </c>
      <c r="B101" s="20" t="str">
        <f>VLOOKUP(A101,'Employee Record'!$A101:$T$201,4,FALSE)</f>
        <v>Marketing</v>
      </c>
      <c r="F101" s="14"/>
      <c r="G101" s="15"/>
      <c r="H101" s="15"/>
      <c r="I101" s="10"/>
      <c r="U101" s="10"/>
    </row>
    <row r="102" ht="15.75" customHeight="1">
      <c r="A102" s="4" t="s">
        <v>306</v>
      </c>
      <c r="B102" s="20" t="str">
        <f>VLOOKUP(A102,'Employee Record'!$A102:$T$201,4,FALSE)</f>
        <v>IT</v>
      </c>
      <c r="F102" s="14"/>
      <c r="G102" s="15"/>
      <c r="H102" s="15"/>
      <c r="I102" s="10"/>
      <c r="U102" s="10"/>
    </row>
    <row r="103" ht="15.75" customHeight="1">
      <c r="A103" s="4" t="s">
        <v>308</v>
      </c>
      <c r="B103" s="20" t="str">
        <f>VLOOKUP(A103,'Employee Record'!$A103:$T$201,4,FALSE)</f>
        <v>HR</v>
      </c>
      <c r="F103" s="14"/>
      <c r="G103" s="15"/>
      <c r="H103" s="15"/>
      <c r="I103" s="10"/>
      <c r="U103" s="10"/>
    </row>
    <row r="104" ht="15.75" customHeight="1">
      <c r="A104" s="4" t="s">
        <v>310</v>
      </c>
      <c r="B104" s="20" t="str">
        <f>VLOOKUP(A104,'Employee Record'!$A104:$T$201,4,FALSE)</f>
        <v>IT</v>
      </c>
      <c r="F104" s="14"/>
      <c r="G104" s="15"/>
      <c r="H104" s="15"/>
      <c r="I104" s="10"/>
      <c r="U104" s="10"/>
    </row>
    <row r="105" ht="15.75" customHeight="1">
      <c r="A105" s="4" t="s">
        <v>312</v>
      </c>
      <c r="B105" s="20" t="str">
        <f>VLOOKUP(A105,'Employee Record'!$A105:$T$201,4,FALSE)</f>
        <v>Finance</v>
      </c>
      <c r="F105" s="14"/>
      <c r="G105" s="15"/>
      <c r="H105" s="15"/>
      <c r="I105" s="10"/>
      <c r="U105" s="10"/>
    </row>
    <row r="106" ht="15.75" customHeight="1">
      <c r="A106" s="4" t="s">
        <v>315</v>
      </c>
      <c r="B106" s="20" t="str">
        <f>VLOOKUP(A106,'Employee Record'!$A106:$T$201,4,FALSE)</f>
        <v>Marketing</v>
      </c>
      <c r="F106" s="14"/>
      <c r="G106" s="15"/>
      <c r="H106" s="15"/>
      <c r="I106" s="10"/>
      <c r="U106" s="10"/>
    </row>
    <row r="107" ht="15.75" customHeight="1">
      <c r="A107" s="4" t="s">
        <v>318</v>
      </c>
      <c r="B107" s="20" t="str">
        <f>VLOOKUP(A107,'Employee Record'!$A107:$T$201,4,FALSE)</f>
        <v>Sales</v>
      </c>
      <c r="F107" s="14"/>
      <c r="G107" s="15"/>
      <c r="H107" s="15"/>
      <c r="I107" s="10"/>
      <c r="U107" s="10"/>
    </row>
    <row r="108" ht="15.75" customHeight="1">
      <c r="A108" s="4" t="s">
        <v>319</v>
      </c>
      <c r="B108" s="20" t="str">
        <f>VLOOKUP(A108,'Employee Record'!$A108:$T$201,4,FALSE)</f>
        <v>Marketing</v>
      </c>
      <c r="F108" s="14"/>
      <c r="G108" s="15"/>
      <c r="H108" s="15"/>
      <c r="I108" s="10"/>
      <c r="U108" s="10"/>
    </row>
    <row r="109" ht="15.75" customHeight="1">
      <c r="A109" s="4" t="s">
        <v>321</v>
      </c>
      <c r="B109" s="20" t="str">
        <f>VLOOKUP(A109,'Employee Record'!$A109:$T$201,4,FALSE)</f>
        <v>Sales</v>
      </c>
      <c r="F109" s="14"/>
      <c r="G109" s="15"/>
      <c r="H109" s="15"/>
      <c r="I109" s="10"/>
      <c r="U109" s="10"/>
    </row>
    <row r="110" ht="15.75" customHeight="1">
      <c r="A110" s="4" t="s">
        <v>324</v>
      </c>
      <c r="B110" s="20" t="str">
        <f>VLOOKUP(A110,'Employee Record'!$A110:$T$201,4,FALSE)</f>
        <v>HR</v>
      </c>
      <c r="F110" s="14"/>
      <c r="G110" s="15"/>
      <c r="H110" s="15"/>
      <c r="I110" s="10"/>
      <c r="U110" s="10"/>
    </row>
    <row r="111" ht="15.75" customHeight="1">
      <c r="A111" s="4" t="s">
        <v>326</v>
      </c>
      <c r="B111" s="20" t="str">
        <f>VLOOKUP(A111,'Employee Record'!$A111:$T$201,4,FALSE)</f>
        <v>Finance</v>
      </c>
      <c r="F111" s="14"/>
      <c r="G111" s="15"/>
      <c r="H111" s="15"/>
      <c r="I111" s="10"/>
      <c r="U111" s="10"/>
    </row>
    <row r="112" ht="15.75" customHeight="1">
      <c r="A112" s="4" t="s">
        <v>328</v>
      </c>
      <c r="B112" s="20" t="str">
        <f>VLOOKUP(A112,'Employee Record'!$A112:$T$201,4,FALSE)</f>
        <v>HR</v>
      </c>
      <c r="F112" s="14"/>
      <c r="G112" s="15"/>
      <c r="H112" s="15"/>
      <c r="I112" s="10"/>
      <c r="U112" s="10"/>
    </row>
    <row r="113" ht="15.75" customHeight="1">
      <c r="A113" s="4" t="s">
        <v>329</v>
      </c>
      <c r="B113" s="20" t="str">
        <f>VLOOKUP(A113,'Employee Record'!$A113:$T$201,4,FALSE)</f>
        <v>IT</v>
      </c>
      <c r="F113" s="14"/>
      <c r="G113" s="15"/>
      <c r="H113" s="15"/>
      <c r="I113" s="10"/>
      <c r="U113" s="10"/>
    </row>
    <row r="114" ht="15.75" customHeight="1">
      <c r="A114" s="4" t="s">
        <v>330</v>
      </c>
      <c r="B114" s="20" t="str">
        <f>VLOOKUP(A114,'Employee Record'!$A114:$T$201,4,FALSE)</f>
        <v>Marketing</v>
      </c>
      <c r="F114" s="14"/>
      <c r="G114" s="15"/>
      <c r="H114" s="15"/>
      <c r="I114" s="10"/>
      <c r="U114" s="10"/>
    </row>
    <row r="115" ht="15.75" customHeight="1">
      <c r="A115" s="4" t="s">
        <v>333</v>
      </c>
      <c r="B115" s="20" t="str">
        <f>VLOOKUP(A115,'Employee Record'!$A115:$T$201,4,FALSE)</f>
        <v>Finance</v>
      </c>
      <c r="F115" s="14"/>
      <c r="G115" s="15"/>
      <c r="H115" s="15"/>
      <c r="I115" s="10"/>
      <c r="U115" s="10"/>
    </row>
    <row r="116" ht="15.75" customHeight="1">
      <c r="A116" s="4" t="s">
        <v>335</v>
      </c>
      <c r="B116" s="20" t="str">
        <f>VLOOKUP(A116,'Employee Record'!$A116:$T$201,4,FALSE)</f>
        <v>IT</v>
      </c>
      <c r="F116" s="14"/>
      <c r="G116" s="15"/>
      <c r="H116" s="15"/>
      <c r="I116" s="10"/>
      <c r="U116" s="10"/>
    </row>
    <row r="117" ht="15.75" customHeight="1">
      <c r="A117" s="4" t="s">
        <v>338</v>
      </c>
      <c r="B117" s="20" t="str">
        <f>VLOOKUP(A117,'Employee Record'!$A117:$T$201,4,FALSE)</f>
        <v>IT</v>
      </c>
      <c r="F117" s="14"/>
      <c r="G117" s="15"/>
      <c r="H117" s="15"/>
      <c r="I117" s="10"/>
      <c r="U117" s="10"/>
    </row>
    <row r="118" ht="15.75" customHeight="1">
      <c r="A118" s="4" t="s">
        <v>340</v>
      </c>
      <c r="B118" s="20" t="str">
        <f>VLOOKUP(A118,'Employee Record'!$A118:$T$201,4,FALSE)</f>
        <v>Finance</v>
      </c>
      <c r="F118" s="14"/>
      <c r="G118" s="15"/>
      <c r="H118" s="15"/>
      <c r="I118" s="10"/>
      <c r="U118" s="10"/>
    </row>
    <row r="119" ht="15.75" customHeight="1">
      <c r="A119" s="4" t="s">
        <v>342</v>
      </c>
      <c r="B119" s="20" t="str">
        <f>VLOOKUP(A119,'Employee Record'!$A119:$T$201,4,FALSE)</f>
        <v>Sales</v>
      </c>
      <c r="F119" s="14"/>
      <c r="G119" s="15"/>
      <c r="H119" s="15"/>
      <c r="I119" s="10"/>
      <c r="U119" s="10"/>
    </row>
    <row r="120" ht="15.75" customHeight="1">
      <c r="A120" s="4" t="s">
        <v>345</v>
      </c>
      <c r="B120" s="20" t="str">
        <f>VLOOKUP(A120,'Employee Record'!$A120:$T$201,4,FALSE)</f>
        <v>Marketing</v>
      </c>
      <c r="F120" s="14"/>
      <c r="G120" s="15"/>
      <c r="H120" s="15"/>
      <c r="I120" s="10"/>
      <c r="U120" s="10"/>
    </row>
    <row r="121" ht="15.75" customHeight="1">
      <c r="A121" s="4" t="s">
        <v>348</v>
      </c>
      <c r="B121" s="20" t="str">
        <f>VLOOKUP(A121,'Employee Record'!$A121:$T$201,4,FALSE)</f>
        <v>HR</v>
      </c>
      <c r="F121" s="14"/>
      <c r="G121" s="15"/>
      <c r="H121" s="15"/>
      <c r="I121" s="10"/>
      <c r="U121" s="10"/>
    </row>
    <row r="122" ht="15.75" customHeight="1">
      <c r="A122" s="4" t="s">
        <v>351</v>
      </c>
      <c r="B122" s="20" t="str">
        <f>VLOOKUP(A122,'Employee Record'!$A122:$T$201,4,FALSE)</f>
        <v>IT</v>
      </c>
      <c r="F122" s="14"/>
      <c r="G122" s="15"/>
      <c r="H122" s="15"/>
      <c r="I122" s="10"/>
      <c r="U122" s="10"/>
    </row>
    <row r="123" ht="15.75" customHeight="1">
      <c r="A123" s="4" t="s">
        <v>354</v>
      </c>
      <c r="B123" s="20" t="str">
        <f>VLOOKUP(A123,'Employee Record'!$A123:$T$201,4,FALSE)</f>
        <v>Sales</v>
      </c>
      <c r="F123" s="14"/>
      <c r="G123" s="15"/>
      <c r="H123" s="15"/>
      <c r="I123" s="10"/>
      <c r="U123" s="10"/>
    </row>
    <row r="124" ht="15.75" customHeight="1">
      <c r="A124" s="4" t="s">
        <v>356</v>
      </c>
      <c r="B124" s="20" t="str">
        <f>VLOOKUP(A124,'Employee Record'!$A124:$T$201,4,FALSE)</f>
        <v>IT</v>
      </c>
      <c r="F124" s="14"/>
      <c r="G124" s="15"/>
      <c r="H124" s="15"/>
      <c r="I124" s="10"/>
      <c r="U124" s="10"/>
    </row>
    <row r="125" ht="15.75" customHeight="1">
      <c r="A125" s="4" t="s">
        <v>358</v>
      </c>
      <c r="B125" s="20" t="str">
        <f>VLOOKUP(A125,'Employee Record'!$A125:$T$201,4,FALSE)</f>
        <v>Sales</v>
      </c>
      <c r="F125" s="14"/>
      <c r="G125" s="15"/>
      <c r="H125" s="15"/>
      <c r="I125" s="10"/>
      <c r="U125" s="10"/>
    </row>
    <row r="126" ht="15.75" customHeight="1">
      <c r="A126" s="4" t="s">
        <v>360</v>
      </c>
      <c r="B126" s="20" t="str">
        <f>VLOOKUP(A126,'Employee Record'!$A126:$T$201,4,FALSE)</f>
        <v>HR</v>
      </c>
      <c r="F126" s="14"/>
      <c r="G126" s="15"/>
      <c r="H126" s="15"/>
      <c r="I126" s="10"/>
      <c r="U126" s="10"/>
    </row>
    <row r="127" ht="15.75" customHeight="1">
      <c r="A127" s="4" t="s">
        <v>363</v>
      </c>
      <c r="B127" s="20" t="str">
        <f>VLOOKUP(A127,'Employee Record'!$A127:$T$201,4,FALSE)</f>
        <v>IT</v>
      </c>
      <c r="F127" s="14"/>
      <c r="G127" s="15"/>
      <c r="H127" s="15"/>
      <c r="I127" s="10"/>
      <c r="U127" s="10"/>
    </row>
    <row r="128" ht="15.75" customHeight="1">
      <c r="A128" s="4" t="s">
        <v>365</v>
      </c>
      <c r="B128" s="20" t="str">
        <f>VLOOKUP(A128,'Employee Record'!$A128:$T$201,4,FALSE)</f>
        <v>HR</v>
      </c>
      <c r="F128" s="14"/>
      <c r="G128" s="15"/>
      <c r="H128" s="15"/>
      <c r="I128" s="10"/>
      <c r="U128" s="10"/>
    </row>
    <row r="129" ht="15.75" customHeight="1">
      <c r="A129" s="4" t="s">
        <v>367</v>
      </c>
      <c r="B129" s="20" t="str">
        <f>VLOOKUP(A129,'Employee Record'!$A129:$T$201,4,FALSE)</f>
        <v>HR</v>
      </c>
      <c r="F129" s="14"/>
      <c r="G129" s="15"/>
      <c r="H129" s="15"/>
      <c r="I129" s="10"/>
      <c r="U129" s="10"/>
    </row>
    <row r="130" ht="15.75" customHeight="1">
      <c r="A130" s="4" t="s">
        <v>370</v>
      </c>
      <c r="B130" s="20" t="str">
        <f>VLOOKUP(A130,'Employee Record'!$A130:$T$201,4,FALSE)</f>
        <v>Sales</v>
      </c>
      <c r="F130" s="14"/>
      <c r="G130" s="15"/>
      <c r="H130" s="15"/>
      <c r="I130" s="10"/>
      <c r="U130" s="10"/>
    </row>
    <row r="131" ht="15.75" customHeight="1">
      <c r="A131" s="4" t="s">
        <v>372</v>
      </c>
      <c r="B131" s="20" t="str">
        <f>VLOOKUP(A131,'Employee Record'!$A131:$T$201,4,FALSE)</f>
        <v>Sales</v>
      </c>
      <c r="F131" s="14"/>
      <c r="G131" s="15"/>
      <c r="H131" s="15"/>
      <c r="I131" s="10"/>
      <c r="U131" s="10"/>
    </row>
    <row r="132" ht="15.75" customHeight="1">
      <c r="A132" s="4" t="s">
        <v>374</v>
      </c>
      <c r="B132" s="20" t="str">
        <f>VLOOKUP(A132,'Employee Record'!$A132:$T$201,4,FALSE)</f>
        <v>HR</v>
      </c>
      <c r="F132" s="14"/>
      <c r="G132" s="15"/>
      <c r="H132" s="15"/>
      <c r="I132" s="10"/>
      <c r="U132" s="10"/>
    </row>
    <row r="133" ht="15.75" customHeight="1">
      <c r="A133" s="4" t="s">
        <v>376</v>
      </c>
      <c r="B133" s="20" t="str">
        <f>VLOOKUP(A133,'Employee Record'!$A133:$T$201,4,FALSE)</f>
        <v>HR</v>
      </c>
      <c r="F133" s="14"/>
      <c r="G133" s="15"/>
      <c r="H133" s="15"/>
      <c r="I133" s="10"/>
      <c r="U133" s="10"/>
    </row>
    <row r="134" ht="15.75" customHeight="1">
      <c r="A134" s="4" t="s">
        <v>378</v>
      </c>
      <c r="B134" s="20" t="str">
        <f>VLOOKUP(A134,'Employee Record'!$A134:$T$201,4,FALSE)</f>
        <v>HR</v>
      </c>
      <c r="F134" s="14"/>
      <c r="G134" s="15"/>
      <c r="H134" s="15"/>
      <c r="I134" s="10"/>
      <c r="U134" s="10"/>
    </row>
    <row r="135" ht="15.75" customHeight="1">
      <c r="A135" s="4" t="s">
        <v>379</v>
      </c>
      <c r="B135" s="20" t="str">
        <f>VLOOKUP(A135,'Employee Record'!$A135:$T$201,4,FALSE)</f>
        <v>Finance</v>
      </c>
      <c r="F135" s="14"/>
      <c r="G135" s="15"/>
      <c r="H135" s="15"/>
      <c r="I135" s="10"/>
      <c r="U135" s="10"/>
    </row>
    <row r="136" ht="15.75" customHeight="1">
      <c r="A136" s="4" t="s">
        <v>380</v>
      </c>
      <c r="B136" s="20" t="str">
        <f>VLOOKUP(A136,'Employee Record'!$A136:$T$201,4,FALSE)</f>
        <v>Sales</v>
      </c>
      <c r="F136" s="14"/>
      <c r="G136" s="15"/>
      <c r="H136" s="15"/>
      <c r="I136" s="10"/>
      <c r="U136" s="10"/>
    </row>
    <row r="137" ht="15.75" customHeight="1">
      <c r="A137" s="4" t="s">
        <v>383</v>
      </c>
      <c r="B137" s="20" t="str">
        <f>VLOOKUP(A137,'Employee Record'!$A137:$T$201,4,FALSE)</f>
        <v>Finance</v>
      </c>
      <c r="F137" s="14"/>
      <c r="G137" s="15"/>
      <c r="H137" s="15"/>
      <c r="I137" s="10"/>
      <c r="U137" s="10"/>
    </row>
    <row r="138" ht="15.75" customHeight="1">
      <c r="A138" s="4" t="s">
        <v>385</v>
      </c>
      <c r="B138" s="20" t="str">
        <f>VLOOKUP(A138,'Employee Record'!$A138:$T$201,4,FALSE)</f>
        <v>Marketing</v>
      </c>
      <c r="F138" s="14"/>
      <c r="G138" s="15"/>
      <c r="H138" s="15"/>
      <c r="I138" s="10"/>
      <c r="U138" s="10"/>
    </row>
    <row r="139" ht="15.75" customHeight="1">
      <c r="A139" s="4" t="s">
        <v>386</v>
      </c>
      <c r="B139" s="20" t="str">
        <f>VLOOKUP(A139,'Employee Record'!$A139:$T$201,4,FALSE)</f>
        <v>Finance</v>
      </c>
      <c r="F139" s="14"/>
      <c r="G139" s="15"/>
      <c r="H139" s="15"/>
      <c r="I139" s="10"/>
      <c r="U139" s="10"/>
    </row>
    <row r="140" ht="15.75" customHeight="1">
      <c r="A140" s="4" t="s">
        <v>389</v>
      </c>
      <c r="B140" s="20" t="str">
        <f>VLOOKUP(A140,'Employee Record'!$A140:$T$201,4,FALSE)</f>
        <v>Marketing</v>
      </c>
      <c r="F140" s="14"/>
      <c r="G140" s="15"/>
      <c r="H140" s="15"/>
      <c r="I140" s="10"/>
      <c r="U140" s="10"/>
    </row>
    <row r="141" ht="15.75" customHeight="1">
      <c r="A141" s="4" t="s">
        <v>392</v>
      </c>
      <c r="B141" s="20" t="str">
        <f>VLOOKUP(A141,'Employee Record'!$A141:$T$201,4,FALSE)</f>
        <v>Finance</v>
      </c>
      <c r="F141" s="14"/>
      <c r="G141" s="15"/>
      <c r="H141" s="15"/>
      <c r="I141" s="10"/>
      <c r="U141" s="10"/>
    </row>
    <row r="142" ht="15.75" customHeight="1">
      <c r="A142" s="4" t="s">
        <v>394</v>
      </c>
      <c r="B142" s="20" t="str">
        <f>VLOOKUP(A142,'Employee Record'!$A142:$T$201,4,FALSE)</f>
        <v>IT</v>
      </c>
      <c r="F142" s="14"/>
      <c r="G142" s="15"/>
      <c r="H142" s="15"/>
      <c r="I142" s="10"/>
      <c r="U142" s="10"/>
    </row>
    <row r="143" ht="15.75" customHeight="1">
      <c r="A143" s="4" t="s">
        <v>396</v>
      </c>
      <c r="B143" s="20" t="str">
        <f>VLOOKUP(A143,'Employee Record'!$A143:$T$201,4,FALSE)</f>
        <v>HR</v>
      </c>
      <c r="F143" s="14"/>
      <c r="G143" s="15"/>
      <c r="H143" s="15"/>
      <c r="I143" s="10"/>
      <c r="U143" s="10"/>
    </row>
    <row r="144" ht="15.75" customHeight="1">
      <c r="A144" s="4" t="s">
        <v>398</v>
      </c>
      <c r="B144" s="20" t="str">
        <f>VLOOKUP(A144,'Employee Record'!$A144:$T$201,4,FALSE)</f>
        <v>Sales</v>
      </c>
      <c r="F144" s="14"/>
      <c r="G144" s="15"/>
      <c r="H144" s="15"/>
      <c r="I144" s="10"/>
      <c r="U144" s="10"/>
    </row>
    <row r="145" ht="15.75" customHeight="1">
      <c r="A145" s="4" t="s">
        <v>400</v>
      </c>
      <c r="B145" s="20" t="str">
        <f>VLOOKUP(A145,'Employee Record'!$A145:$T$201,4,FALSE)</f>
        <v>HR</v>
      </c>
      <c r="F145" s="14"/>
      <c r="G145" s="15"/>
      <c r="H145" s="15"/>
      <c r="I145" s="10"/>
      <c r="U145" s="10"/>
    </row>
    <row r="146" ht="15.75" customHeight="1">
      <c r="A146" s="4" t="s">
        <v>403</v>
      </c>
      <c r="B146" s="20" t="str">
        <f>VLOOKUP(A146,'Employee Record'!$A146:$T$201,4,FALSE)</f>
        <v>IT</v>
      </c>
      <c r="F146" s="14"/>
      <c r="G146" s="15"/>
      <c r="H146" s="15"/>
      <c r="I146" s="10"/>
      <c r="U146" s="10"/>
    </row>
    <row r="147" ht="15.75" customHeight="1">
      <c r="A147" s="4" t="s">
        <v>405</v>
      </c>
      <c r="B147" s="20" t="str">
        <f>VLOOKUP(A147,'Employee Record'!$A147:$T$201,4,FALSE)</f>
        <v>Sales</v>
      </c>
      <c r="F147" s="14"/>
      <c r="G147" s="15"/>
      <c r="H147" s="15"/>
      <c r="I147" s="10"/>
      <c r="U147" s="10"/>
    </row>
    <row r="148" ht="15.75" customHeight="1">
      <c r="A148" s="4" t="s">
        <v>407</v>
      </c>
      <c r="B148" s="20" t="str">
        <f>VLOOKUP(A148,'Employee Record'!$A148:$T$201,4,FALSE)</f>
        <v>Finance</v>
      </c>
      <c r="F148" s="14"/>
      <c r="G148" s="15"/>
      <c r="H148" s="15"/>
      <c r="I148" s="10"/>
      <c r="U148" s="10"/>
    </row>
    <row r="149" ht="15.75" customHeight="1">
      <c r="A149" s="4" t="s">
        <v>409</v>
      </c>
      <c r="B149" s="20" t="str">
        <f>VLOOKUP(A149,'Employee Record'!$A149:$T$201,4,FALSE)</f>
        <v>Marketing</v>
      </c>
      <c r="F149" s="14"/>
      <c r="G149" s="15"/>
      <c r="H149" s="15"/>
      <c r="I149" s="10"/>
      <c r="U149" s="10"/>
    </row>
    <row r="150" ht="15.75" customHeight="1">
      <c r="A150" s="4" t="s">
        <v>412</v>
      </c>
      <c r="B150" s="20" t="str">
        <f>VLOOKUP(A150,'Employee Record'!$A150:$T$201,4,FALSE)</f>
        <v>Finance</v>
      </c>
      <c r="F150" s="14"/>
      <c r="G150" s="15"/>
      <c r="H150" s="15"/>
      <c r="I150" s="10"/>
      <c r="U150" s="10"/>
    </row>
    <row r="151" ht="15.75" customHeight="1">
      <c r="A151" s="4" t="s">
        <v>414</v>
      </c>
      <c r="B151" s="20" t="str">
        <f>VLOOKUP(A151,'Employee Record'!$A151:$T$201,4,FALSE)</f>
        <v>IT</v>
      </c>
      <c r="F151" s="14"/>
      <c r="G151" s="15"/>
      <c r="H151" s="15"/>
      <c r="I151" s="10"/>
      <c r="U151" s="10"/>
    </row>
    <row r="152" ht="15.75" customHeight="1">
      <c r="A152" s="4" t="s">
        <v>416</v>
      </c>
      <c r="B152" s="20" t="str">
        <f>VLOOKUP(A152,'Employee Record'!$A152:$T$201,4,FALSE)</f>
        <v>IT</v>
      </c>
      <c r="F152" s="14"/>
      <c r="G152" s="15"/>
      <c r="H152" s="15"/>
      <c r="I152" s="10"/>
      <c r="U152" s="10"/>
    </row>
    <row r="153" ht="15.75" customHeight="1">
      <c r="A153" s="4" t="s">
        <v>419</v>
      </c>
      <c r="B153" s="20" t="str">
        <f>VLOOKUP(A153,'Employee Record'!$A153:$T$201,4,FALSE)</f>
        <v>Finance</v>
      </c>
      <c r="F153" s="14"/>
      <c r="G153" s="15"/>
      <c r="H153" s="15"/>
      <c r="I153" s="10"/>
      <c r="U153" s="10"/>
    </row>
    <row r="154" ht="15.75" customHeight="1">
      <c r="A154" s="4" t="s">
        <v>420</v>
      </c>
      <c r="B154" s="20" t="str">
        <f>VLOOKUP(A154,'Employee Record'!$A154:$T$201,4,FALSE)</f>
        <v>Finance</v>
      </c>
      <c r="F154" s="14"/>
      <c r="G154" s="15"/>
      <c r="H154" s="15"/>
      <c r="I154" s="10"/>
      <c r="U154" s="10"/>
    </row>
    <row r="155" ht="15.75" customHeight="1">
      <c r="A155" s="4" t="s">
        <v>422</v>
      </c>
      <c r="B155" s="20" t="str">
        <f>VLOOKUP(A155,'Employee Record'!$A155:$T$201,4,FALSE)</f>
        <v>IT</v>
      </c>
      <c r="F155" s="14"/>
      <c r="G155" s="15"/>
      <c r="H155" s="15"/>
      <c r="I155" s="10"/>
      <c r="U155" s="10"/>
    </row>
    <row r="156" ht="15.75" customHeight="1">
      <c r="A156" s="4" t="s">
        <v>424</v>
      </c>
      <c r="B156" s="20" t="str">
        <f>VLOOKUP(A156,'Employee Record'!$A156:$T$201,4,FALSE)</f>
        <v>Marketing</v>
      </c>
      <c r="F156" s="14"/>
      <c r="G156" s="15"/>
      <c r="H156" s="15"/>
      <c r="I156" s="10"/>
      <c r="U156" s="10"/>
    </row>
    <row r="157" ht="15.75" customHeight="1">
      <c r="A157" s="4" t="s">
        <v>426</v>
      </c>
      <c r="B157" s="20" t="str">
        <f>VLOOKUP(A157,'Employee Record'!$A157:$T$201,4,FALSE)</f>
        <v>Sales</v>
      </c>
      <c r="F157" s="14"/>
      <c r="G157" s="15"/>
      <c r="H157" s="15"/>
      <c r="I157" s="10"/>
      <c r="U157" s="10"/>
    </row>
    <row r="158" ht="15.75" customHeight="1">
      <c r="A158" s="4" t="s">
        <v>429</v>
      </c>
      <c r="B158" s="20" t="str">
        <f>VLOOKUP(A158,'Employee Record'!$A158:$T$201,4,FALSE)</f>
        <v>IT</v>
      </c>
      <c r="F158" s="14"/>
      <c r="G158" s="15"/>
      <c r="H158" s="15"/>
      <c r="I158" s="10"/>
      <c r="U158" s="10"/>
    </row>
    <row r="159" ht="15.75" customHeight="1">
      <c r="A159" s="4" t="s">
        <v>430</v>
      </c>
      <c r="B159" s="20" t="str">
        <f>VLOOKUP(A159,'Employee Record'!$A159:$T$201,4,FALSE)</f>
        <v>Marketing</v>
      </c>
      <c r="F159" s="14"/>
      <c r="G159" s="15"/>
      <c r="H159" s="15"/>
      <c r="I159" s="10"/>
      <c r="U159" s="10"/>
    </row>
    <row r="160" ht="15.75" customHeight="1">
      <c r="A160" s="4" t="s">
        <v>433</v>
      </c>
      <c r="B160" s="20" t="str">
        <f>VLOOKUP(A160,'Employee Record'!$A160:$T$201,4,FALSE)</f>
        <v>Finance</v>
      </c>
      <c r="F160" s="14"/>
      <c r="G160" s="15"/>
      <c r="H160" s="15"/>
      <c r="I160" s="10"/>
      <c r="U160" s="10"/>
    </row>
    <row r="161" ht="15.75" customHeight="1">
      <c r="A161" s="4" t="s">
        <v>435</v>
      </c>
      <c r="B161" s="20" t="str">
        <f>VLOOKUP(A161,'Employee Record'!$A161:$T$201,4,FALSE)</f>
        <v>IT</v>
      </c>
      <c r="F161" s="14"/>
      <c r="G161" s="15"/>
      <c r="H161" s="15"/>
      <c r="I161" s="10"/>
      <c r="U161" s="10"/>
    </row>
    <row r="162" ht="15.75" customHeight="1">
      <c r="A162" s="4" t="s">
        <v>437</v>
      </c>
      <c r="B162" s="20" t="str">
        <f>VLOOKUP(A162,'Employee Record'!$A162:$T$201,4,FALSE)</f>
        <v>IT</v>
      </c>
      <c r="F162" s="14"/>
      <c r="G162" s="15"/>
      <c r="H162" s="15"/>
      <c r="I162" s="10"/>
      <c r="U162" s="10"/>
    </row>
    <row r="163" ht="15.75" customHeight="1">
      <c r="A163" s="4" t="s">
        <v>439</v>
      </c>
      <c r="B163" s="20" t="str">
        <f>VLOOKUP(A163,'Employee Record'!$A163:$T$201,4,FALSE)</f>
        <v>Finance</v>
      </c>
      <c r="F163" s="14"/>
      <c r="G163" s="15"/>
      <c r="H163" s="15"/>
      <c r="I163" s="10"/>
      <c r="U163" s="10"/>
    </row>
    <row r="164" ht="15.75" customHeight="1">
      <c r="A164" s="4" t="s">
        <v>441</v>
      </c>
      <c r="B164" s="20" t="str">
        <f>VLOOKUP(A164,'Employee Record'!$A164:$T$201,4,FALSE)</f>
        <v>Finance</v>
      </c>
      <c r="F164" s="14"/>
      <c r="G164" s="15"/>
      <c r="H164" s="15"/>
      <c r="I164" s="10"/>
      <c r="U164" s="10"/>
    </row>
    <row r="165" ht="15.75" customHeight="1">
      <c r="A165" s="4" t="s">
        <v>444</v>
      </c>
      <c r="B165" s="20" t="str">
        <f>VLOOKUP(A165,'Employee Record'!$A165:$T$201,4,FALSE)</f>
        <v>Finance</v>
      </c>
      <c r="F165" s="14"/>
      <c r="G165" s="15"/>
      <c r="H165" s="15"/>
      <c r="I165" s="10"/>
      <c r="U165" s="10"/>
    </row>
    <row r="166" ht="15.75" customHeight="1">
      <c r="A166" s="4" t="s">
        <v>446</v>
      </c>
      <c r="B166" s="20" t="str">
        <f>VLOOKUP(A166,'Employee Record'!$A166:$T$201,4,FALSE)</f>
        <v>Marketing</v>
      </c>
      <c r="F166" s="14"/>
      <c r="G166" s="15"/>
      <c r="H166" s="15"/>
      <c r="I166" s="10"/>
      <c r="U166" s="10"/>
    </row>
    <row r="167" ht="15.75" customHeight="1">
      <c r="A167" s="4" t="s">
        <v>448</v>
      </c>
      <c r="B167" s="20" t="str">
        <f>VLOOKUP(A167,'Employee Record'!$A167:$T$201,4,FALSE)</f>
        <v>Sales</v>
      </c>
      <c r="F167" s="14"/>
      <c r="G167" s="15"/>
      <c r="H167" s="15"/>
      <c r="I167" s="10"/>
      <c r="U167" s="10"/>
    </row>
    <row r="168" ht="15.75" customHeight="1">
      <c r="A168" s="4" t="s">
        <v>451</v>
      </c>
      <c r="B168" s="20" t="str">
        <f>VLOOKUP(A168,'Employee Record'!$A168:$T$201,4,FALSE)</f>
        <v>Marketing</v>
      </c>
      <c r="F168" s="14"/>
      <c r="G168" s="15"/>
      <c r="H168" s="15"/>
      <c r="I168" s="10"/>
      <c r="U168" s="10"/>
    </row>
    <row r="169" ht="15.75" customHeight="1">
      <c r="A169" s="4" t="s">
        <v>453</v>
      </c>
      <c r="B169" s="20" t="str">
        <f>VLOOKUP(A169,'Employee Record'!$A169:$T$201,4,FALSE)</f>
        <v>Marketing</v>
      </c>
      <c r="F169" s="14"/>
      <c r="G169" s="15"/>
      <c r="H169" s="15"/>
      <c r="I169" s="10"/>
      <c r="U169" s="10"/>
    </row>
    <row r="170" ht="15.75" customHeight="1">
      <c r="A170" s="4" t="s">
        <v>455</v>
      </c>
      <c r="B170" s="20" t="str">
        <f>VLOOKUP(A170,'Employee Record'!$A170:$T$201,4,FALSE)</f>
        <v>HR</v>
      </c>
      <c r="F170" s="14"/>
      <c r="G170" s="15"/>
      <c r="H170" s="15"/>
      <c r="I170" s="10"/>
      <c r="U170" s="10"/>
    </row>
    <row r="171" ht="15.75" customHeight="1">
      <c r="A171" s="4" t="s">
        <v>458</v>
      </c>
      <c r="B171" s="20" t="str">
        <f>VLOOKUP(A171,'Employee Record'!$A171:$T$201,4,FALSE)</f>
        <v>IT</v>
      </c>
      <c r="F171" s="14"/>
      <c r="G171" s="15"/>
      <c r="H171" s="15"/>
      <c r="I171" s="10"/>
      <c r="U171" s="10"/>
    </row>
    <row r="172" ht="15.75" customHeight="1">
      <c r="A172" s="4" t="s">
        <v>461</v>
      </c>
      <c r="B172" s="20" t="str">
        <f>VLOOKUP(A172,'Employee Record'!$A172:$T$201,4,FALSE)</f>
        <v>HR</v>
      </c>
      <c r="F172" s="14"/>
      <c r="G172" s="15"/>
      <c r="H172" s="15"/>
      <c r="I172" s="10"/>
      <c r="U172" s="10"/>
    </row>
    <row r="173" ht="15.75" customHeight="1">
      <c r="A173" s="4" t="s">
        <v>462</v>
      </c>
      <c r="B173" s="20" t="str">
        <f>VLOOKUP(A173,'Employee Record'!$A173:$T$201,4,FALSE)</f>
        <v>IT</v>
      </c>
      <c r="F173" s="14"/>
      <c r="G173" s="15"/>
      <c r="H173" s="15"/>
      <c r="I173" s="10"/>
      <c r="U173" s="10"/>
    </row>
    <row r="174" ht="15.75" customHeight="1">
      <c r="A174" s="4" t="s">
        <v>463</v>
      </c>
      <c r="B174" s="20" t="str">
        <f>VLOOKUP(A174,'Employee Record'!$A174:$T$201,4,FALSE)</f>
        <v>Finance</v>
      </c>
      <c r="F174" s="14"/>
      <c r="G174" s="15"/>
      <c r="H174" s="15"/>
      <c r="I174" s="10"/>
      <c r="U174" s="10"/>
    </row>
    <row r="175" ht="15.75" customHeight="1">
      <c r="A175" s="4" t="s">
        <v>465</v>
      </c>
      <c r="B175" s="20" t="str">
        <f>VLOOKUP(A175,'Employee Record'!$A175:$T$201,4,FALSE)</f>
        <v>Marketing</v>
      </c>
      <c r="F175" s="14"/>
      <c r="G175" s="15"/>
      <c r="H175" s="15"/>
      <c r="I175" s="10"/>
      <c r="U175" s="10"/>
    </row>
    <row r="176" ht="15.75" customHeight="1">
      <c r="A176" s="4" t="s">
        <v>467</v>
      </c>
      <c r="B176" s="20" t="str">
        <f>VLOOKUP(A176,'Employee Record'!$A176:$T$201,4,FALSE)</f>
        <v>Marketing</v>
      </c>
      <c r="F176" s="14"/>
      <c r="G176" s="15"/>
      <c r="H176" s="15"/>
      <c r="I176" s="10"/>
      <c r="U176" s="10"/>
    </row>
    <row r="177" ht="15.75" customHeight="1">
      <c r="A177" s="4" t="s">
        <v>469</v>
      </c>
      <c r="B177" s="20" t="str">
        <f>VLOOKUP(A177,'Employee Record'!$A177:$T$201,4,FALSE)</f>
        <v>Marketing</v>
      </c>
      <c r="F177" s="14"/>
      <c r="G177" s="15"/>
      <c r="H177" s="15"/>
      <c r="I177" s="10"/>
      <c r="U177" s="10"/>
    </row>
    <row r="178" ht="15.75" customHeight="1">
      <c r="A178" s="4" t="s">
        <v>471</v>
      </c>
      <c r="B178" s="20" t="str">
        <f>VLOOKUP(A178,'Employee Record'!$A178:$T$201,4,FALSE)</f>
        <v>HR</v>
      </c>
      <c r="F178" s="14"/>
      <c r="G178" s="15"/>
      <c r="H178" s="15"/>
      <c r="I178" s="10"/>
      <c r="U178" s="10"/>
    </row>
    <row r="179" ht="15.75" customHeight="1">
      <c r="A179" s="4" t="s">
        <v>472</v>
      </c>
      <c r="B179" s="20" t="str">
        <f>VLOOKUP(A179,'Employee Record'!$A179:$T$201,4,FALSE)</f>
        <v>IT</v>
      </c>
      <c r="F179" s="14"/>
      <c r="G179" s="15"/>
      <c r="H179" s="15"/>
      <c r="I179" s="10"/>
      <c r="U179" s="10"/>
    </row>
    <row r="180" ht="15.75" customHeight="1">
      <c r="A180" s="4" t="s">
        <v>474</v>
      </c>
      <c r="B180" s="20" t="str">
        <f>VLOOKUP(A180,'Employee Record'!$A180:$T$201,4,FALSE)</f>
        <v>HR</v>
      </c>
      <c r="F180" s="14"/>
      <c r="G180" s="15"/>
      <c r="H180" s="15"/>
      <c r="I180" s="10"/>
      <c r="U180" s="10"/>
    </row>
    <row r="181" ht="15.75" customHeight="1">
      <c r="A181" s="4" t="s">
        <v>477</v>
      </c>
      <c r="B181" s="20" t="str">
        <f>VLOOKUP(A181,'Employee Record'!$A181:$T$201,4,FALSE)</f>
        <v>HR</v>
      </c>
      <c r="F181" s="14"/>
      <c r="G181" s="15"/>
      <c r="H181" s="15"/>
      <c r="I181" s="10"/>
      <c r="U181" s="10"/>
    </row>
    <row r="182" ht="15.75" customHeight="1">
      <c r="A182" s="4" t="s">
        <v>480</v>
      </c>
      <c r="B182" s="20" t="str">
        <f>VLOOKUP(A182,'Employee Record'!$A182:$T$201,4,FALSE)</f>
        <v>Sales</v>
      </c>
      <c r="F182" s="14"/>
      <c r="G182" s="15"/>
      <c r="H182" s="15"/>
      <c r="I182" s="10"/>
      <c r="U182" s="10"/>
    </row>
    <row r="183" ht="15.75" customHeight="1">
      <c r="A183" s="4" t="s">
        <v>482</v>
      </c>
      <c r="B183" s="20" t="str">
        <f>VLOOKUP(A183,'Employee Record'!$A183:$T$201,4,FALSE)</f>
        <v>Sales</v>
      </c>
      <c r="F183" s="14"/>
      <c r="G183" s="15"/>
      <c r="H183" s="15"/>
      <c r="I183" s="10"/>
      <c r="U183" s="10"/>
    </row>
    <row r="184" ht="15.75" customHeight="1">
      <c r="A184" s="4" t="s">
        <v>483</v>
      </c>
      <c r="B184" s="20" t="str">
        <f>VLOOKUP(A184,'Employee Record'!$A184:$T$201,4,FALSE)</f>
        <v>Marketing</v>
      </c>
      <c r="F184" s="14"/>
      <c r="G184" s="15"/>
      <c r="H184" s="15"/>
      <c r="I184" s="10"/>
      <c r="U184" s="10"/>
    </row>
    <row r="185" ht="15.75" customHeight="1">
      <c r="A185" s="4" t="s">
        <v>485</v>
      </c>
      <c r="B185" s="20" t="str">
        <f>VLOOKUP(A185,'Employee Record'!$A185:$T$201,4,FALSE)</f>
        <v>Finance</v>
      </c>
      <c r="F185" s="14"/>
      <c r="G185" s="15"/>
      <c r="H185" s="15"/>
      <c r="I185" s="10"/>
      <c r="U185" s="10"/>
    </row>
    <row r="186" ht="15.75" customHeight="1">
      <c r="A186" s="4" t="s">
        <v>486</v>
      </c>
      <c r="B186" s="20" t="str">
        <f>VLOOKUP(A186,'Employee Record'!$A186:$T$201,4,FALSE)</f>
        <v>IT</v>
      </c>
      <c r="F186" s="14"/>
      <c r="G186" s="15"/>
      <c r="H186" s="15"/>
      <c r="I186" s="10"/>
      <c r="U186" s="10"/>
    </row>
    <row r="187" ht="15.75" customHeight="1">
      <c r="A187" s="4" t="s">
        <v>488</v>
      </c>
      <c r="B187" s="20" t="str">
        <f>VLOOKUP(A187,'Employee Record'!$A187:$T$201,4,FALSE)</f>
        <v>Marketing</v>
      </c>
      <c r="F187" s="14"/>
      <c r="G187" s="15"/>
      <c r="H187" s="15"/>
      <c r="I187" s="10"/>
      <c r="U187" s="10"/>
    </row>
    <row r="188" ht="15.75" customHeight="1">
      <c r="A188" s="4" t="s">
        <v>491</v>
      </c>
      <c r="B188" s="20" t="str">
        <f>VLOOKUP(A188,'Employee Record'!$A188:$T$201,4,FALSE)</f>
        <v>Finance</v>
      </c>
      <c r="F188" s="14"/>
      <c r="G188" s="15"/>
      <c r="H188" s="15"/>
      <c r="I188" s="10"/>
      <c r="U188" s="10"/>
    </row>
    <row r="189" ht="15.75" customHeight="1">
      <c r="A189" s="4" t="s">
        <v>494</v>
      </c>
      <c r="B189" s="20" t="str">
        <f>VLOOKUP(A189,'Employee Record'!$A189:$T$201,4,FALSE)</f>
        <v>Finance</v>
      </c>
      <c r="F189" s="14"/>
      <c r="G189" s="15"/>
      <c r="H189" s="15"/>
      <c r="I189" s="10"/>
      <c r="U189" s="10"/>
    </row>
    <row r="190" ht="15.75" customHeight="1">
      <c r="A190" s="4" t="s">
        <v>496</v>
      </c>
      <c r="B190" s="20" t="str">
        <f>VLOOKUP(A190,'Employee Record'!$A190:$T$201,4,FALSE)</f>
        <v>Marketing</v>
      </c>
      <c r="F190" s="14"/>
      <c r="G190" s="15"/>
      <c r="H190" s="15"/>
      <c r="I190" s="10"/>
      <c r="U190" s="10"/>
    </row>
    <row r="191" ht="15.75" customHeight="1">
      <c r="A191" s="4" t="s">
        <v>499</v>
      </c>
      <c r="B191" s="20" t="str">
        <f>VLOOKUP(A191,'Employee Record'!$A191:$T$201,4,FALSE)</f>
        <v>Marketing</v>
      </c>
      <c r="F191" s="14"/>
      <c r="G191" s="15"/>
      <c r="H191" s="15"/>
      <c r="I191" s="10"/>
      <c r="U191" s="10"/>
    </row>
    <row r="192" ht="15.75" customHeight="1">
      <c r="A192" s="4" t="s">
        <v>500</v>
      </c>
      <c r="B192" s="20" t="str">
        <f>VLOOKUP(A192,'Employee Record'!$A192:$T$201,4,FALSE)</f>
        <v>Finance</v>
      </c>
      <c r="F192" s="14"/>
      <c r="G192" s="15"/>
      <c r="H192" s="15"/>
      <c r="I192" s="10"/>
      <c r="U192" s="10"/>
    </row>
    <row r="193" ht="15.75" customHeight="1">
      <c r="A193" s="4" t="s">
        <v>503</v>
      </c>
      <c r="B193" s="20" t="str">
        <f>VLOOKUP(A193,'Employee Record'!$A193:$T$201,4,FALSE)</f>
        <v>HR</v>
      </c>
      <c r="F193" s="14"/>
      <c r="G193" s="15"/>
      <c r="H193" s="15"/>
      <c r="I193" s="10"/>
      <c r="U193" s="10"/>
    </row>
    <row r="194" ht="15.75" customHeight="1">
      <c r="A194" s="4" t="s">
        <v>506</v>
      </c>
      <c r="B194" s="20" t="str">
        <f>VLOOKUP(A194,'Employee Record'!$A194:$T$201,4,FALSE)</f>
        <v>HR</v>
      </c>
      <c r="F194" s="14"/>
      <c r="G194" s="15"/>
      <c r="H194" s="15"/>
      <c r="I194" s="10"/>
      <c r="U194" s="10"/>
    </row>
    <row r="195" ht="15.75" customHeight="1">
      <c r="A195" s="4" t="s">
        <v>509</v>
      </c>
      <c r="B195" s="20" t="str">
        <f>VLOOKUP(A195,'Employee Record'!$A195:$T$201,4,FALSE)</f>
        <v>Sales</v>
      </c>
      <c r="F195" s="14"/>
      <c r="G195" s="15"/>
      <c r="H195" s="15"/>
      <c r="I195" s="10"/>
      <c r="U195" s="10"/>
    </row>
    <row r="196" ht="15.75" customHeight="1">
      <c r="A196" s="4" t="s">
        <v>510</v>
      </c>
      <c r="B196" s="20" t="str">
        <f>VLOOKUP(A196,'Employee Record'!$A196:$T$201,4,FALSE)</f>
        <v>Finance</v>
      </c>
      <c r="F196" s="14"/>
      <c r="G196" s="15"/>
      <c r="H196" s="15"/>
      <c r="I196" s="10"/>
      <c r="U196" s="10"/>
    </row>
    <row r="197" ht="15.75" customHeight="1">
      <c r="A197" s="4" t="s">
        <v>511</v>
      </c>
      <c r="B197" s="20" t="str">
        <f>VLOOKUP(A197,'Employee Record'!$A197:$T$201,4,FALSE)</f>
        <v>Sales</v>
      </c>
      <c r="F197" s="14"/>
      <c r="G197" s="15"/>
      <c r="H197" s="15"/>
      <c r="I197" s="10"/>
      <c r="U197" s="10"/>
    </row>
    <row r="198" ht="15.75" customHeight="1">
      <c r="A198" s="4" t="s">
        <v>514</v>
      </c>
      <c r="B198" s="20" t="str">
        <f>VLOOKUP(A198,'Employee Record'!$A198:$T$201,4,FALSE)</f>
        <v>Sales</v>
      </c>
      <c r="F198" s="14"/>
      <c r="G198" s="15"/>
      <c r="H198" s="15"/>
      <c r="I198" s="10"/>
      <c r="U198" s="10"/>
    </row>
    <row r="199" ht="15.75" customHeight="1">
      <c r="A199" s="4" t="s">
        <v>516</v>
      </c>
      <c r="B199" s="20" t="str">
        <f>VLOOKUP(A199,'Employee Record'!$A199:$T$201,4,FALSE)</f>
        <v>Marketing</v>
      </c>
      <c r="F199" s="14"/>
      <c r="G199" s="15"/>
      <c r="H199" s="15"/>
      <c r="I199" s="10"/>
      <c r="U199" s="10"/>
    </row>
    <row r="200" ht="15.75" customHeight="1">
      <c r="A200" s="4" t="s">
        <v>519</v>
      </c>
      <c r="B200" s="20" t="str">
        <f>VLOOKUP(A200,'Employee Record'!$A200:$T$201,4,FALSE)</f>
        <v>Sales</v>
      </c>
      <c r="F200" s="14"/>
      <c r="G200" s="15"/>
      <c r="H200" s="15"/>
      <c r="I200" s="10"/>
      <c r="U200" s="10"/>
    </row>
    <row r="201" ht="15.75" customHeight="1">
      <c r="A201" s="4" t="s">
        <v>521</v>
      </c>
      <c r="B201" s="20" t="str">
        <f>VLOOKUP(A201,'Employee Record'!$A201:$T$201,4,FALSE)</f>
        <v>Marketing</v>
      </c>
      <c r="F201" s="14"/>
      <c r="G201" s="15"/>
      <c r="H201" s="15"/>
      <c r="I201" s="10"/>
      <c r="U201" s="1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4.43"/>
    <col customWidth="1" min="3" max="3" width="11.14"/>
    <col customWidth="1" min="4" max="4" width="12.43"/>
    <col customWidth="1" min="5" max="5" width="14.71"/>
    <col customWidth="1" min="6" max="6" width="6.43"/>
    <col customWidth="1" min="7" max="7" width="11.57"/>
    <col customWidth="1" min="8" max="8" width="11.14"/>
    <col customWidth="1" min="9" max="9" width="9.14"/>
    <col customWidth="1" min="10" max="10" width="10.29"/>
    <col customWidth="1" min="12" max="12" width="16.57"/>
    <col customWidth="1" min="14" max="14" width="18.43"/>
    <col customWidth="1" min="15" max="15" width="15.14"/>
    <col customWidth="1" min="16" max="16" width="12.57"/>
    <col customWidth="1" min="17" max="17" width="9.86"/>
    <col customWidth="1" min="18" max="18" width="21.86"/>
    <col customWidth="1" min="19" max="19" width="12.71"/>
    <col customWidth="1" min="20" max="20" width="7.43"/>
  </cols>
  <sheetData>
    <row r="1">
      <c r="A1" s="21" t="s">
        <v>12</v>
      </c>
      <c r="B1" s="4" t="s">
        <v>525</v>
      </c>
      <c r="C1" s="4" t="s">
        <v>526</v>
      </c>
      <c r="D1" s="4" t="s">
        <v>527</v>
      </c>
      <c r="E1" s="4" t="s">
        <v>528</v>
      </c>
      <c r="F1" s="14"/>
      <c r="G1" s="15"/>
      <c r="H1" s="15"/>
      <c r="I1" s="10"/>
      <c r="U1" s="10"/>
    </row>
    <row r="2">
      <c r="A2" s="21" t="s">
        <v>0</v>
      </c>
      <c r="B2" s="4" t="s">
        <v>21</v>
      </c>
      <c r="C2" s="4" t="s">
        <v>26</v>
      </c>
      <c r="D2" s="4" t="s">
        <v>31</v>
      </c>
      <c r="E2" s="4" t="s">
        <v>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21" t="s">
        <v>1</v>
      </c>
      <c r="B3" s="4" t="s">
        <v>22</v>
      </c>
      <c r="C3" s="4" t="s">
        <v>27</v>
      </c>
      <c r="D3" s="4" t="s">
        <v>32</v>
      </c>
      <c r="E3" s="4" t="s">
        <v>37</v>
      </c>
      <c r="F3" s="14"/>
      <c r="G3" s="15"/>
      <c r="H3" s="15"/>
      <c r="I3" s="10"/>
      <c r="U3" s="10"/>
    </row>
    <row r="4">
      <c r="A4" s="21" t="s">
        <v>2</v>
      </c>
      <c r="B4" s="4" t="s">
        <v>23</v>
      </c>
      <c r="C4" s="4" t="s">
        <v>28</v>
      </c>
      <c r="D4" s="4" t="s">
        <v>33</v>
      </c>
      <c r="E4" s="4" t="s">
        <v>38</v>
      </c>
      <c r="F4" s="14"/>
      <c r="G4" s="15"/>
      <c r="H4" s="15"/>
      <c r="I4" s="10"/>
      <c r="U4" s="10"/>
    </row>
    <row r="5">
      <c r="A5" s="21" t="s">
        <v>3</v>
      </c>
      <c r="B5" s="4" t="s">
        <v>24</v>
      </c>
      <c r="C5" s="4" t="s">
        <v>29</v>
      </c>
      <c r="D5" s="4" t="s">
        <v>34</v>
      </c>
      <c r="E5" s="4" t="s">
        <v>29</v>
      </c>
      <c r="H5" s="15"/>
      <c r="I5" s="10"/>
      <c r="U5" s="10"/>
    </row>
    <row r="6">
      <c r="A6" s="21" t="s">
        <v>4</v>
      </c>
      <c r="B6" s="4" t="s">
        <v>25</v>
      </c>
      <c r="C6" s="4" t="s">
        <v>30</v>
      </c>
      <c r="D6" s="4" t="s">
        <v>35</v>
      </c>
      <c r="E6" s="4" t="s">
        <v>39</v>
      </c>
      <c r="F6" s="14"/>
      <c r="G6" s="15"/>
      <c r="H6" s="15"/>
      <c r="I6" s="10"/>
      <c r="L6" s="22"/>
      <c r="U6" s="10"/>
    </row>
    <row r="7">
      <c r="A7" s="21" t="s">
        <v>5</v>
      </c>
      <c r="B7" s="4">
        <v>85.0</v>
      </c>
      <c r="C7" s="4">
        <v>93.0</v>
      </c>
      <c r="D7" s="4">
        <v>37.0</v>
      </c>
      <c r="E7" s="4">
        <v>87.0</v>
      </c>
      <c r="F7" s="14"/>
      <c r="G7" s="15"/>
      <c r="H7" s="15"/>
      <c r="I7" s="10"/>
      <c r="U7" s="10"/>
    </row>
    <row r="8">
      <c r="A8" s="21" t="s">
        <v>6</v>
      </c>
      <c r="B8" s="6">
        <v>33693.0</v>
      </c>
      <c r="C8" s="6">
        <v>32359.0</v>
      </c>
      <c r="D8" s="6">
        <v>36559.0</v>
      </c>
      <c r="E8" s="6">
        <v>31829.0</v>
      </c>
      <c r="F8" s="14"/>
      <c r="G8" s="15"/>
      <c r="H8" s="15"/>
      <c r="I8" s="10"/>
      <c r="U8" s="10"/>
    </row>
    <row r="9">
      <c r="A9" s="21" t="s">
        <v>7</v>
      </c>
      <c r="B9" s="6">
        <v>45252.0</v>
      </c>
      <c r="C9" s="6">
        <v>45552.0</v>
      </c>
      <c r="D9" s="6">
        <v>43269.0</v>
      </c>
      <c r="E9" s="6">
        <v>43487.0</v>
      </c>
      <c r="F9" s="14"/>
      <c r="G9" s="15"/>
      <c r="H9" s="15"/>
      <c r="I9" s="10"/>
      <c r="U9" s="10"/>
    </row>
    <row r="10">
      <c r="A10" s="21" t="s">
        <v>8</v>
      </c>
      <c r="B10" s="7">
        <v>8352.0</v>
      </c>
      <c r="C10" s="7">
        <v>5982.0</v>
      </c>
      <c r="D10" s="7">
        <v>5767.0</v>
      </c>
      <c r="E10" s="7">
        <v>5622.0</v>
      </c>
      <c r="F10" s="14"/>
      <c r="G10" s="15"/>
      <c r="H10" s="15"/>
      <c r="I10" s="10"/>
      <c r="U10" s="10"/>
    </row>
    <row r="11">
      <c r="A11" s="21" t="s">
        <v>9</v>
      </c>
      <c r="B11" s="4" t="s">
        <v>529</v>
      </c>
      <c r="C11" s="4" t="s">
        <v>529</v>
      </c>
      <c r="D11" s="4" t="s">
        <v>530</v>
      </c>
      <c r="E11" s="4" t="s">
        <v>529</v>
      </c>
      <c r="F11" s="14"/>
      <c r="G11" s="15"/>
      <c r="H11" s="15"/>
      <c r="I11" s="10"/>
      <c r="U11" s="10"/>
    </row>
    <row r="12">
      <c r="A12" s="21" t="s">
        <v>10</v>
      </c>
      <c r="B12" s="4" t="s">
        <v>531</v>
      </c>
      <c r="C12" s="4" t="s">
        <v>532</v>
      </c>
      <c r="D12" s="4" t="s">
        <v>533</v>
      </c>
      <c r="E12" s="4" t="s">
        <v>531</v>
      </c>
      <c r="F12" s="14"/>
      <c r="G12" s="15"/>
      <c r="H12" s="15"/>
      <c r="I12" s="10"/>
      <c r="U12" s="10"/>
    </row>
    <row r="13">
      <c r="A13" s="21" t="s">
        <v>522</v>
      </c>
      <c r="B13" s="4" t="s">
        <v>24</v>
      </c>
      <c r="C13" s="4" t="s">
        <v>534</v>
      </c>
      <c r="D13" s="4" t="s">
        <v>34</v>
      </c>
      <c r="E13" s="4" t="s">
        <v>534</v>
      </c>
      <c r="F13" s="14"/>
      <c r="G13" s="15"/>
      <c r="H13" s="15"/>
      <c r="I13" s="10"/>
      <c r="U13" s="10"/>
    </row>
    <row r="14">
      <c r="A14" s="21" t="s">
        <v>13</v>
      </c>
      <c r="B14" s="4">
        <v>6.0</v>
      </c>
      <c r="C14" s="4">
        <v>6.0</v>
      </c>
      <c r="D14" s="4">
        <v>6.0</v>
      </c>
      <c r="E14" s="4">
        <v>6.0</v>
      </c>
      <c r="F14" s="14"/>
      <c r="G14" s="15"/>
      <c r="H14" s="15"/>
      <c r="I14" s="10"/>
      <c r="U14" s="10"/>
    </row>
    <row r="15">
      <c r="A15" s="21" t="s">
        <v>14</v>
      </c>
      <c r="B15" s="4">
        <v>33.0</v>
      </c>
      <c r="C15" s="4">
        <v>37.0</v>
      </c>
      <c r="D15" s="4">
        <v>25.0</v>
      </c>
      <c r="E15" s="4">
        <v>38.0</v>
      </c>
      <c r="F15" s="14"/>
      <c r="G15" s="15"/>
      <c r="H15" s="15"/>
      <c r="I15" s="10"/>
      <c r="U15" s="10"/>
    </row>
    <row r="16">
      <c r="A16" s="21" t="s">
        <v>15</v>
      </c>
      <c r="B16" s="4" t="s">
        <v>535</v>
      </c>
      <c r="C16" s="4" t="s">
        <v>536</v>
      </c>
      <c r="D16" s="4" t="s">
        <v>537</v>
      </c>
      <c r="E16" s="4" t="s">
        <v>538</v>
      </c>
      <c r="F16" s="14"/>
      <c r="G16" s="15"/>
      <c r="H16" s="15"/>
      <c r="I16" s="10"/>
      <c r="U16" s="10"/>
    </row>
    <row r="17">
      <c r="A17" s="21" t="s">
        <v>16</v>
      </c>
      <c r="B17" s="4">
        <v>1.0</v>
      </c>
      <c r="C17" s="4">
        <v>1.0</v>
      </c>
      <c r="D17" s="4">
        <v>7.0</v>
      </c>
      <c r="E17" s="4">
        <v>6.0</v>
      </c>
      <c r="F17" s="14"/>
      <c r="G17" s="15"/>
      <c r="H17" s="15"/>
      <c r="I17" s="10"/>
      <c r="U17" s="10"/>
    </row>
    <row r="18">
      <c r="A18" s="21" t="s">
        <v>523</v>
      </c>
      <c r="B18" s="4" t="s">
        <v>539</v>
      </c>
      <c r="C18" s="4" t="s">
        <v>539</v>
      </c>
      <c r="D18" s="4" t="s">
        <v>539</v>
      </c>
      <c r="E18" s="4" t="s">
        <v>540</v>
      </c>
      <c r="F18" s="14"/>
      <c r="G18" s="15"/>
      <c r="H18" s="15"/>
      <c r="I18" s="10"/>
      <c r="U18" s="10"/>
    </row>
    <row r="19">
      <c r="A19" s="21" t="s">
        <v>18</v>
      </c>
      <c r="B19" s="4" t="s">
        <v>541</v>
      </c>
      <c r="C19" s="4" t="s">
        <v>542</v>
      </c>
      <c r="D19" s="4" t="s">
        <v>542</v>
      </c>
      <c r="E19" s="4" t="s">
        <v>542</v>
      </c>
      <c r="F19" s="14"/>
      <c r="G19" s="15"/>
      <c r="H19" s="15"/>
      <c r="I19" s="10"/>
      <c r="U19" s="10"/>
    </row>
    <row r="20" ht="15.75" customHeight="1">
      <c r="A20" s="21" t="s">
        <v>19</v>
      </c>
      <c r="B20" s="7">
        <v>4176.0</v>
      </c>
      <c r="C20" s="7">
        <v>2991.0</v>
      </c>
      <c r="D20" s="7">
        <v>2883.5</v>
      </c>
      <c r="E20" s="7">
        <v>2811.0</v>
      </c>
      <c r="F20" s="14"/>
      <c r="G20" s="15"/>
      <c r="H20" s="15"/>
      <c r="I20" s="10"/>
      <c r="U20" s="10"/>
    </row>
    <row r="21" ht="15.75" customHeight="1">
      <c r="F21" s="14"/>
      <c r="G21" s="15"/>
      <c r="H21" s="15"/>
      <c r="I21" s="10"/>
      <c r="U21" s="10"/>
    </row>
    <row r="22" ht="15.75" customHeight="1">
      <c r="A22" s="23" t="s">
        <v>12</v>
      </c>
      <c r="B22" s="24" t="s">
        <v>527</v>
      </c>
      <c r="F22" s="14"/>
      <c r="G22" s="15"/>
      <c r="H22" s="15"/>
      <c r="I22" s="10"/>
      <c r="U22" s="10"/>
    </row>
    <row r="23" ht="15.75" customHeight="1">
      <c r="A23" s="23" t="s">
        <v>543</v>
      </c>
      <c r="B23" s="20" t="str">
        <f>HLOOKUP(B22,$A$1:$E$20,13,FALSE)</f>
        <v>HR</v>
      </c>
      <c r="F23" s="14"/>
      <c r="G23" s="15"/>
      <c r="H23" s="15"/>
      <c r="I23" s="10"/>
      <c r="U23" s="10"/>
    </row>
    <row r="24" ht="15.75" customHeight="1">
      <c r="F24" s="14"/>
      <c r="G24" s="15"/>
      <c r="H24" s="15"/>
      <c r="I24" s="10"/>
      <c r="U24" s="10"/>
    </row>
    <row r="25" ht="15.75" customHeight="1">
      <c r="F25" s="14"/>
      <c r="G25" s="15"/>
      <c r="H25" s="15"/>
      <c r="I25" s="10"/>
      <c r="U25" s="10"/>
    </row>
    <row r="26" ht="15.75" customHeight="1">
      <c r="F26" s="14"/>
      <c r="G26" s="15"/>
      <c r="H26" s="15"/>
      <c r="I26" s="10"/>
      <c r="U26" s="10"/>
    </row>
    <row r="27" ht="15.75" customHeight="1">
      <c r="F27" s="14"/>
      <c r="G27" s="15"/>
      <c r="H27" s="15"/>
      <c r="I27" s="10"/>
      <c r="U27" s="10"/>
    </row>
    <row r="28" ht="15.75" customHeight="1">
      <c r="F28" s="14"/>
      <c r="G28" s="15"/>
      <c r="H28" s="15"/>
      <c r="I28" s="10"/>
      <c r="U28" s="10"/>
    </row>
    <row r="29" ht="15.75" customHeight="1">
      <c r="F29" s="14"/>
      <c r="G29" s="15"/>
      <c r="H29" s="15"/>
      <c r="I29" s="10"/>
      <c r="U29" s="10"/>
    </row>
    <row r="30" ht="15.75" customHeight="1">
      <c r="F30" s="14"/>
      <c r="G30" s="15"/>
      <c r="H30" s="15"/>
      <c r="I30" s="10"/>
      <c r="U30" s="10"/>
    </row>
    <row r="31" ht="15.75" customHeight="1">
      <c r="F31" s="14"/>
      <c r="G31" s="15"/>
      <c r="H31" s="15"/>
      <c r="I31" s="10"/>
      <c r="U31" s="10"/>
    </row>
    <row r="32" ht="15.75" customHeight="1">
      <c r="F32" s="14"/>
      <c r="G32" s="15"/>
      <c r="H32" s="15"/>
      <c r="I32" s="10"/>
      <c r="U32" s="10"/>
    </row>
    <row r="33" ht="15.75" customHeight="1">
      <c r="F33" s="14"/>
      <c r="G33" s="15"/>
      <c r="H33" s="15"/>
      <c r="I33" s="10"/>
      <c r="U33" s="10"/>
    </row>
    <row r="34" ht="15.75" customHeight="1">
      <c r="F34" s="14"/>
      <c r="G34" s="15"/>
      <c r="H34" s="15"/>
      <c r="I34" s="10"/>
      <c r="U34" s="10"/>
    </row>
    <row r="35" ht="15.75" customHeight="1">
      <c r="F35" s="14"/>
      <c r="G35" s="15"/>
      <c r="H35" s="15"/>
      <c r="I35" s="10"/>
      <c r="U35" s="10"/>
    </row>
    <row r="36" ht="15.75" customHeight="1">
      <c r="F36" s="14"/>
      <c r="G36" s="15"/>
      <c r="H36" s="15"/>
      <c r="I36" s="10"/>
      <c r="U36" s="10"/>
    </row>
    <row r="37" ht="15.75" customHeight="1">
      <c r="F37" s="14"/>
      <c r="G37" s="15"/>
      <c r="H37" s="15"/>
      <c r="I37" s="10"/>
      <c r="U37" s="10"/>
    </row>
    <row r="38" ht="15.75" customHeight="1">
      <c r="E38" s="25" t="s">
        <v>544</v>
      </c>
      <c r="F38" s="14"/>
      <c r="G38" s="15"/>
      <c r="H38" s="15"/>
      <c r="I38" s="10"/>
      <c r="U38" s="10"/>
    </row>
    <row r="39" ht="15.75" customHeight="1">
      <c r="F39" s="14"/>
      <c r="G39" s="15"/>
      <c r="H39" s="15"/>
      <c r="I39" s="10"/>
      <c r="U39" s="10"/>
    </row>
    <row r="40" ht="15.75" customHeight="1">
      <c r="F40" s="14"/>
      <c r="G40" s="15"/>
      <c r="H40" s="15"/>
      <c r="I40" s="10"/>
      <c r="U40" s="10"/>
    </row>
    <row r="41" ht="15.75" customHeight="1">
      <c r="F41" s="14"/>
      <c r="G41" s="15"/>
      <c r="H41" s="15"/>
      <c r="I41" s="10"/>
      <c r="U41" s="10"/>
    </row>
    <row r="42" ht="15.75" customHeight="1">
      <c r="F42" s="14"/>
      <c r="G42" s="15"/>
      <c r="H42" s="15"/>
      <c r="I42" s="10"/>
      <c r="U42" s="10"/>
    </row>
    <row r="43" ht="15.75" customHeight="1">
      <c r="F43" s="14"/>
      <c r="G43" s="15"/>
      <c r="H43" s="15"/>
      <c r="I43" s="10"/>
      <c r="U43" s="10"/>
    </row>
    <row r="44" ht="15.75" customHeight="1">
      <c r="F44" s="14"/>
      <c r="G44" s="15"/>
      <c r="H44" s="15"/>
      <c r="I44" s="10"/>
      <c r="U44" s="10"/>
    </row>
    <row r="45" ht="15.75" customHeight="1">
      <c r="F45" s="14"/>
      <c r="G45" s="15"/>
      <c r="H45" s="15"/>
      <c r="I45" s="10"/>
      <c r="U45" s="10"/>
    </row>
    <row r="46" ht="15.75" customHeight="1">
      <c r="F46" s="14"/>
      <c r="G46" s="15"/>
      <c r="H46" s="15"/>
      <c r="I46" s="10"/>
      <c r="U46" s="10"/>
    </row>
    <row r="47" ht="15.75" customHeight="1">
      <c r="F47" s="14"/>
      <c r="G47" s="15"/>
      <c r="H47" s="15"/>
      <c r="I47" s="10"/>
      <c r="U47" s="10"/>
    </row>
    <row r="48" ht="15.75" customHeight="1">
      <c r="F48" s="14"/>
      <c r="G48" s="15"/>
      <c r="H48" s="15"/>
      <c r="I48" s="10"/>
      <c r="U48" s="10"/>
    </row>
    <row r="49" ht="15.75" customHeight="1">
      <c r="F49" s="14"/>
      <c r="G49" s="15"/>
      <c r="H49" s="15"/>
      <c r="I49" s="10"/>
      <c r="U49" s="10"/>
    </row>
    <row r="50" ht="15.75" customHeight="1">
      <c r="F50" s="14"/>
      <c r="G50" s="15"/>
      <c r="H50" s="15"/>
      <c r="I50" s="10"/>
      <c r="U50" s="10"/>
    </row>
    <row r="51" ht="15.75" customHeight="1">
      <c r="F51" s="14"/>
      <c r="G51" s="15"/>
      <c r="H51" s="15"/>
      <c r="I51" s="10"/>
      <c r="U51" s="10"/>
    </row>
    <row r="52" ht="15.75" customHeight="1">
      <c r="F52" s="14"/>
      <c r="G52" s="15"/>
      <c r="H52" s="15"/>
      <c r="I52" s="10"/>
      <c r="U52" s="10"/>
    </row>
    <row r="53" ht="15.75" customHeight="1">
      <c r="F53" s="14"/>
      <c r="G53" s="15"/>
      <c r="H53" s="15"/>
      <c r="I53" s="10"/>
      <c r="U53" s="10"/>
    </row>
    <row r="54" ht="15.75" customHeight="1">
      <c r="F54" s="14"/>
      <c r="G54" s="15"/>
      <c r="H54" s="15"/>
      <c r="I54" s="10"/>
      <c r="U54" s="10"/>
    </row>
    <row r="55" ht="15.75" customHeight="1">
      <c r="F55" s="14"/>
      <c r="G55" s="15"/>
      <c r="H55" s="15"/>
      <c r="I55" s="10"/>
      <c r="U55" s="10"/>
    </row>
    <row r="56" ht="15.75" customHeight="1">
      <c r="F56" s="14"/>
      <c r="G56" s="15"/>
      <c r="H56" s="15"/>
      <c r="I56" s="10"/>
      <c r="U56" s="10"/>
    </row>
    <row r="57" ht="15.75" customHeight="1">
      <c r="F57" s="14"/>
      <c r="G57" s="15"/>
      <c r="H57" s="15"/>
      <c r="I57" s="10"/>
      <c r="U57" s="10"/>
    </row>
    <row r="58" ht="15.75" customHeight="1">
      <c r="F58" s="14"/>
      <c r="G58" s="15"/>
      <c r="H58" s="15"/>
      <c r="I58" s="10"/>
      <c r="U58" s="10"/>
    </row>
    <row r="59" ht="15.75" customHeight="1">
      <c r="F59" s="14"/>
      <c r="G59" s="15"/>
      <c r="H59" s="15"/>
      <c r="I59" s="10"/>
      <c r="U59" s="10"/>
    </row>
    <row r="60" ht="15.75" customHeight="1">
      <c r="F60" s="14"/>
      <c r="G60" s="15"/>
      <c r="H60" s="15"/>
      <c r="I60" s="10"/>
      <c r="U60" s="10"/>
    </row>
    <row r="61" ht="15.75" customHeight="1">
      <c r="F61" s="14"/>
      <c r="G61" s="15"/>
      <c r="H61" s="15"/>
      <c r="I61" s="10"/>
      <c r="U61" s="10"/>
    </row>
    <row r="62" ht="15.75" customHeight="1">
      <c r="F62" s="14"/>
      <c r="G62" s="15"/>
      <c r="H62" s="15"/>
      <c r="I62" s="10"/>
      <c r="U62" s="10"/>
    </row>
    <row r="63" ht="15.75" customHeight="1">
      <c r="F63" s="14"/>
      <c r="G63" s="15"/>
      <c r="H63" s="15"/>
      <c r="I63" s="10"/>
      <c r="U63" s="10"/>
    </row>
    <row r="64" ht="15.75" customHeight="1">
      <c r="F64" s="14"/>
      <c r="G64" s="15"/>
      <c r="H64" s="15"/>
      <c r="I64" s="10"/>
      <c r="U64" s="10"/>
    </row>
    <row r="65" ht="15.75" customHeight="1">
      <c r="F65" s="14"/>
      <c r="G65" s="15"/>
      <c r="H65" s="15"/>
      <c r="I65" s="10"/>
      <c r="U65" s="10"/>
    </row>
    <row r="66" ht="15.75" customHeight="1">
      <c r="F66" s="14"/>
      <c r="G66" s="15"/>
      <c r="H66" s="15"/>
      <c r="I66" s="10"/>
      <c r="U66" s="10"/>
    </row>
    <row r="67" ht="15.75" customHeight="1">
      <c r="F67" s="14"/>
      <c r="G67" s="15"/>
      <c r="H67" s="15"/>
      <c r="I67" s="10"/>
      <c r="U67" s="10"/>
    </row>
    <row r="68" ht="15.75" customHeight="1">
      <c r="F68" s="14"/>
      <c r="G68" s="15"/>
      <c r="H68" s="15"/>
      <c r="I68" s="10"/>
      <c r="U68" s="10"/>
    </row>
    <row r="69" ht="15.75" customHeight="1">
      <c r="F69" s="14"/>
      <c r="G69" s="15"/>
      <c r="H69" s="15"/>
      <c r="I69" s="10"/>
      <c r="U69" s="10"/>
    </row>
    <row r="70" ht="15.75" customHeight="1">
      <c r="F70" s="14"/>
      <c r="G70" s="15"/>
      <c r="H70" s="15"/>
      <c r="I70" s="10"/>
      <c r="U70" s="10"/>
    </row>
    <row r="71" ht="15.75" customHeight="1">
      <c r="F71" s="14"/>
      <c r="G71" s="15"/>
      <c r="H71" s="15"/>
      <c r="I71" s="10"/>
      <c r="U71" s="10"/>
    </row>
    <row r="72" ht="15.75" customHeight="1">
      <c r="F72" s="14"/>
      <c r="G72" s="15"/>
      <c r="H72" s="15"/>
      <c r="I72" s="10"/>
      <c r="U72" s="10"/>
    </row>
    <row r="73" ht="15.75" customHeight="1">
      <c r="F73" s="14"/>
      <c r="G73" s="15"/>
      <c r="H73" s="15"/>
      <c r="I73" s="10"/>
      <c r="U73" s="10"/>
    </row>
    <row r="74" ht="15.75" customHeight="1">
      <c r="F74" s="14"/>
      <c r="G74" s="15"/>
      <c r="H74" s="15"/>
      <c r="I74" s="10"/>
      <c r="U74" s="10"/>
    </row>
    <row r="75" ht="15.75" customHeight="1">
      <c r="F75" s="14"/>
      <c r="G75" s="15"/>
      <c r="H75" s="15"/>
      <c r="I75" s="10"/>
      <c r="U75" s="10"/>
    </row>
    <row r="76" ht="15.75" customHeight="1">
      <c r="F76" s="14"/>
      <c r="G76" s="15"/>
      <c r="H76" s="15"/>
      <c r="I76" s="10"/>
      <c r="U76" s="10"/>
    </row>
    <row r="77" ht="15.75" customHeight="1">
      <c r="F77" s="14"/>
      <c r="G77" s="15"/>
      <c r="H77" s="15"/>
      <c r="I77" s="10"/>
      <c r="U77" s="10"/>
    </row>
    <row r="78" ht="15.75" customHeight="1">
      <c r="F78" s="14"/>
      <c r="G78" s="15"/>
      <c r="H78" s="15"/>
      <c r="I78" s="10"/>
      <c r="U78" s="10"/>
    </row>
    <row r="79" ht="15.75" customHeight="1">
      <c r="F79" s="14"/>
      <c r="G79" s="15"/>
      <c r="H79" s="15"/>
      <c r="I79" s="10"/>
      <c r="U79" s="10"/>
    </row>
    <row r="80" ht="15.75" customHeight="1">
      <c r="F80" s="14"/>
      <c r="G80" s="15"/>
      <c r="H80" s="15"/>
      <c r="I80" s="10"/>
      <c r="U80" s="10"/>
    </row>
    <row r="81" ht="15.75" customHeight="1">
      <c r="F81" s="14"/>
      <c r="G81" s="15"/>
      <c r="H81" s="15"/>
      <c r="I81" s="10"/>
      <c r="U81" s="10"/>
    </row>
    <row r="82" ht="15.75" customHeight="1">
      <c r="F82" s="14"/>
      <c r="G82" s="15"/>
      <c r="H82" s="15"/>
      <c r="I82" s="10"/>
      <c r="U82" s="10"/>
    </row>
    <row r="83" ht="15.75" customHeight="1">
      <c r="F83" s="14"/>
      <c r="G83" s="15"/>
      <c r="H83" s="15"/>
      <c r="I83" s="10"/>
      <c r="U83" s="10"/>
    </row>
    <row r="84" ht="15.75" customHeight="1">
      <c r="F84" s="14"/>
      <c r="G84" s="15"/>
      <c r="H84" s="15"/>
      <c r="I84" s="10"/>
      <c r="U84" s="10"/>
    </row>
    <row r="85" ht="15.75" customHeight="1">
      <c r="F85" s="14"/>
      <c r="G85" s="15"/>
      <c r="H85" s="15"/>
      <c r="I85" s="10"/>
      <c r="U85" s="10"/>
    </row>
    <row r="86" ht="15.75" customHeight="1">
      <c r="F86" s="14"/>
      <c r="G86" s="15"/>
      <c r="H86" s="15"/>
      <c r="I86" s="10"/>
      <c r="U86" s="10"/>
    </row>
    <row r="87" ht="15.75" customHeight="1">
      <c r="F87" s="14"/>
      <c r="G87" s="15"/>
      <c r="H87" s="15"/>
      <c r="I87" s="10"/>
      <c r="U87" s="10"/>
    </row>
    <row r="88" ht="15.75" customHeight="1">
      <c r="F88" s="14"/>
      <c r="G88" s="15"/>
      <c r="H88" s="15"/>
      <c r="I88" s="10"/>
      <c r="U88" s="10"/>
    </row>
    <row r="89" ht="15.75" customHeight="1">
      <c r="F89" s="14"/>
      <c r="G89" s="15"/>
      <c r="H89" s="15"/>
      <c r="I89" s="10"/>
      <c r="U89" s="10"/>
    </row>
    <row r="90" ht="15.75" customHeight="1">
      <c r="F90" s="14"/>
      <c r="G90" s="15"/>
      <c r="H90" s="15"/>
      <c r="I90" s="10"/>
      <c r="U90" s="10"/>
    </row>
    <row r="91" ht="15.75" customHeight="1">
      <c r="F91" s="14"/>
      <c r="G91" s="15"/>
      <c r="H91" s="15"/>
      <c r="I91" s="10"/>
      <c r="U91" s="10"/>
    </row>
    <row r="92" ht="15.75" customHeight="1">
      <c r="F92" s="14"/>
      <c r="G92" s="15"/>
      <c r="H92" s="15"/>
      <c r="I92" s="10"/>
      <c r="U92" s="10"/>
    </row>
    <row r="93" ht="15.75" customHeight="1">
      <c r="F93" s="14"/>
      <c r="G93" s="15"/>
      <c r="H93" s="15"/>
      <c r="I93" s="10"/>
      <c r="U93" s="10"/>
    </row>
    <row r="94" ht="15.75" customHeight="1">
      <c r="F94" s="14"/>
      <c r="G94" s="15"/>
      <c r="H94" s="15"/>
      <c r="I94" s="10"/>
      <c r="U94" s="10"/>
    </row>
    <row r="95" ht="15.75" customHeight="1">
      <c r="F95" s="14"/>
      <c r="G95" s="15"/>
      <c r="H95" s="15"/>
      <c r="I95" s="10"/>
      <c r="U95" s="10"/>
    </row>
    <row r="96" ht="15.75" customHeight="1">
      <c r="F96" s="14"/>
      <c r="G96" s="15"/>
      <c r="H96" s="15"/>
      <c r="I96" s="10"/>
      <c r="U96" s="10"/>
    </row>
    <row r="97" ht="15.75" customHeight="1">
      <c r="F97" s="14"/>
      <c r="G97" s="15"/>
      <c r="H97" s="15"/>
      <c r="I97" s="10"/>
      <c r="U97" s="10"/>
    </row>
    <row r="98" ht="15.75" customHeight="1">
      <c r="F98" s="14"/>
      <c r="G98" s="15"/>
      <c r="H98" s="15"/>
      <c r="I98" s="10"/>
      <c r="U98" s="10"/>
    </row>
    <row r="99" ht="15.75" customHeight="1">
      <c r="F99" s="14"/>
      <c r="G99" s="15"/>
      <c r="H99" s="15"/>
      <c r="I99" s="10"/>
      <c r="U99" s="10"/>
    </row>
    <row r="100" ht="15.75" customHeight="1">
      <c r="F100" s="14"/>
      <c r="G100" s="15"/>
      <c r="H100" s="15"/>
      <c r="I100" s="10"/>
      <c r="U100" s="10"/>
    </row>
    <row r="101" ht="15.75" customHeight="1">
      <c r="F101" s="14"/>
      <c r="G101" s="15"/>
      <c r="H101" s="15"/>
      <c r="I101" s="10"/>
      <c r="U101" s="10"/>
    </row>
    <row r="102" ht="15.75" customHeight="1">
      <c r="F102" s="14"/>
      <c r="G102" s="15"/>
      <c r="H102" s="15"/>
      <c r="I102" s="10"/>
      <c r="U102" s="10"/>
    </row>
    <row r="103" ht="15.75" customHeight="1">
      <c r="F103" s="14"/>
      <c r="G103" s="15"/>
      <c r="H103" s="15"/>
      <c r="I103" s="10"/>
      <c r="U103" s="10"/>
    </row>
    <row r="104" ht="15.75" customHeight="1">
      <c r="F104" s="14"/>
      <c r="G104" s="15"/>
      <c r="H104" s="15"/>
      <c r="I104" s="10"/>
      <c r="U104" s="10"/>
    </row>
    <row r="105" ht="15.75" customHeight="1">
      <c r="F105" s="14"/>
      <c r="G105" s="15"/>
      <c r="H105" s="15"/>
      <c r="I105" s="10"/>
      <c r="U105" s="10"/>
    </row>
    <row r="106" ht="15.75" customHeight="1">
      <c r="F106" s="14"/>
      <c r="G106" s="15"/>
      <c r="H106" s="15"/>
      <c r="I106" s="10"/>
      <c r="U106" s="10"/>
    </row>
    <row r="107" ht="15.75" customHeight="1">
      <c r="F107" s="14"/>
      <c r="G107" s="15"/>
      <c r="H107" s="15"/>
      <c r="I107" s="10"/>
      <c r="U107" s="10"/>
    </row>
    <row r="108" ht="15.75" customHeight="1">
      <c r="F108" s="14"/>
      <c r="G108" s="15"/>
      <c r="H108" s="15"/>
      <c r="I108" s="10"/>
      <c r="U108" s="10"/>
    </row>
    <row r="109" ht="15.75" customHeight="1">
      <c r="F109" s="14"/>
      <c r="G109" s="15"/>
      <c r="H109" s="15"/>
      <c r="I109" s="10"/>
      <c r="U109" s="10"/>
    </row>
    <row r="110" ht="15.75" customHeight="1">
      <c r="F110" s="14"/>
      <c r="G110" s="15"/>
      <c r="H110" s="15"/>
      <c r="I110" s="10"/>
      <c r="U110" s="10"/>
    </row>
    <row r="111" ht="15.75" customHeight="1">
      <c r="F111" s="14"/>
      <c r="G111" s="15"/>
      <c r="H111" s="15"/>
      <c r="I111" s="10"/>
      <c r="U111" s="10"/>
    </row>
    <row r="112" ht="15.75" customHeight="1">
      <c r="F112" s="14"/>
      <c r="G112" s="15"/>
      <c r="H112" s="15"/>
      <c r="I112" s="10"/>
      <c r="U112" s="10"/>
    </row>
    <row r="113" ht="15.75" customHeight="1">
      <c r="F113" s="14"/>
      <c r="G113" s="15"/>
      <c r="H113" s="15"/>
      <c r="I113" s="10"/>
      <c r="U113" s="10"/>
    </row>
    <row r="114" ht="15.75" customHeight="1">
      <c r="F114" s="14"/>
      <c r="G114" s="15"/>
      <c r="H114" s="15"/>
      <c r="I114" s="10"/>
      <c r="U114" s="10"/>
    </row>
    <row r="115" ht="15.75" customHeight="1">
      <c r="F115" s="14"/>
      <c r="G115" s="15"/>
      <c r="H115" s="15"/>
      <c r="I115" s="10"/>
      <c r="U115" s="10"/>
    </row>
    <row r="116" ht="15.75" customHeight="1">
      <c r="F116" s="14"/>
      <c r="G116" s="15"/>
      <c r="H116" s="15"/>
      <c r="I116" s="10"/>
      <c r="U116" s="10"/>
    </row>
    <row r="117" ht="15.75" customHeight="1">
      <c r="F117" s="14"/>
      <c r="G117" s="15"/>
      <c r="H117" s="15"/>
      <c r="I117" s="10"/>
      <c r="U117" s="10"/>
    </row>
    <row r="118" ht="15.75" customHeight="1">
      <c r="F118" s="14"/>
      <c r="G118" s="15"/>
      <c r="H118" s="15"/>
      <c r="I118" s="10"/>
      <c r="U118" s="10"/>
    </row>
    <row r="119" ht="15.75" customHeight="1">
      <c r="F119" s="14"/>
      <c r="G119" s="15"/>
      <c r="H119" s="15"/>
      <c r="I119" s="10"/>
      <c r="U119" s="10"/>
    </row>
    <row r="120" ht="15.75" customHeight="1">
      <c r="F120" s="14"/>
      <c r="G120" s="15"/>
      <c r="H120" s="15"/>
      <c r="I120" s="10"/>
      <c r="U120" s="10"/>
    </row>
    <row r="121" ht="15.75" customHeight="1">
      <c r="F121" s="14"/>
      <c r="G121" s="15"/>
      <c r="H121" s="15"/>
      <c r="I121" s="10"/>
      <c r="U121" s="10"/>
    </row>
    <row r="122" ht="15.75" customHeight="1">
      <c r="F122" s="14"/>
      <c r="G122" s="15"/>
      <c r="H122" s="15"/>
      <c r="I122" s="10"/>
      <c r="U122" s="10"/>
    </row>
    <row r="123" ht="15.75" customHeight="1">
      <c r="F123" s="14"/>
      <c r="G123" s="15"/>
      <c r="H123" s="15"/>
      <c r="I123" s="10"/>
      <c r="U123" s="10"/>
    </row>
    <row r="124" ht="15.75" customHeight="1">
      <c r="F124" s="14"/>
      <c r="G124" s="15"/>
      <c r="H124" s="15"/>
      <c r="I124" s="10"/>
      <c r="U124" s="10"/>
    </row>
    <row r="125" ht="15.75" customHeight="1">
      <c r="F125" s="14"/>
      <c r="G125" s="15"/>
      <c r="H125" s="15"/>
      <c r="I125" s="10"/>
      <c r="U125" s="10"/>
    </row>
    <row r="126" ht="15.75" customHeight="1">
      <c r="F126" s="14"/>
      <c r="G126" s="15"/>
      <c r="H126" s="15"/>
      <c r="I126" s="10"/>
      <c r="U126" s="10"/>
    </row>
    <row r="127" ht="15.75" customHeight="1">
      <c r="F127" s="14"/>
      <c r="G127" s="15"/>
      <c r="H127" s="15"/>
      <c r="I127" s="10"/>
      <c r="U127" s="10"/>
    </row>
    <row r="128" ht="15.75" customHeight="1">
      <c r="F128" s="14"/>
      <c r="G128" s="15"/>
      <c r="H128" s="15"/>
      <c r="I128" s="10"/>
      <c r="U128" s="10"/>
    </row>
    <row r="129" ht="15.75" customHeight="1">
      <c r="F129" s="14"/>
      <c r="G129" s="15"/>
      <c r="H129" s="15"/>
      <c r="I129" s="10"/>
      <c r="U129" s="10"/>
    </row>
    <row r="130" ht="15.75" customHeight="1">
      <c r="F130" s="14"/>
      <c r="G130" s="15"/>
      <c r="H130" s="15"/>
      <c r="I130" s="10"/>
      <c r="U130" s="10"/>
    </row>
    <row r="131" ht="15.75" customHeight="1">
      <c r="F131" s="14"/>
      <c r="G131" s="15"/>
      <c r="H131" s="15"/>
      <c r="I131" s="10"/>
      <c r="U131" s="10"/>
    </row>
    <row r="132" ht="15.75" customHeight="1">
      <c r="F132" s="14"/>
      <c r="G132" s="15"/>
      <c r="H132" s="15"/>
      <c r="I132" s="10"/>
      <c r="U132" s="10"/>
    </row>
    <row r="133" ht="15.75" customHeight="1">
      <c r="F133" s="14"/>
      <c r="G133" s="15"/>
      <c r="H133" s="15"/>
      <c r="I133" s="10"/>
      <c r="U133" s="10"/>
    </row>
    <row r="134" ht="15.75" customHeight="1">
      <c r="F134" s="14"/>
      <c r="G134" s="15"/>
      <c r="H134" s="15"/>
      <c r="I134" s="10"/>
      <c r="U134" s="10"/>
    </row>
    <row r="135" ht="15.75" customHeight="1">
      <c r="F135" s="14"/>
      <c r="G135" s="15"/>
      <c r="H135" s="15"/>
      <c r="I135" s="10"/>
      <c r="U135" s="10"/>
    </row>
    <row r="136" ht="15.75" customHeight="1">
      <c r="F136" s="14"/>
      <c r="G136" s="15"/>
      <c r="H136" s="15"/>
      <c r="I136" s="10"/>
      <c r="U136" s="10"/>
    </row>
    <row r="137" ht="15.75" customHeight="1">
      <c r="F137" s="14"/>
      <c r="G137" s="15"/>
      <c r="H137" s="15"/>
      <c r="I137" s="10"/>
      <c r="U137" s="10"/>
    </row>
    <row r="138" ht="15.75" customHeight="1">
      <c r="F138" s="14"/>
      <c r="G138" s="15"/>
      <c r="H138" s="15"/>
      <c r="I138" s="10"/>
      <c r="U138" s="10"/>
    </row>
    <row r="139" ht="15.75" customHeight="1">
      <c r="F139" s="14"/>
      <c r="G139" s="15"/>
      <c r="H139" s="15"/>
      <c r="I139" s="10"/>
      <c r="U139" s="10"/>
    </row>
    <row r="140" ht="15.75" customHeight="1">
      <c r="F140" s="14"/>
      <c r="G140" s="15"/>
      <c r="H140" s="15"/>
      <c r="I140" s="10"/>
      <c r="U140" s="10"/>
    </row>
    <row r="141" ht="15.75" customHeight="1">
      <c r="F141" s="14"/>
      <c r="G141" s="15"/>
      <c r="H141" s="15"/>
      <c r="I141" s="10"/>
      <c r="U141" s="10"/>
    </row>
    <row r="142" ht="15.75" customHeight="1">
      <c r="F142" s="14"/>
      <c r="G142" s="15"/>
      <c r="H142" s="15"/>
      <c r="I142" s="10"/>
      <c r="U142" s="10"/>
    </row>
    <row r="143" ht="15.75" customHeight="1">
      <c r="F143" s="14"/>
      <c r="G143" s="15"/>
      <c r="H143" s="15"/>
      <c r="I143" s="10"/>
      <c r="U143" s="10"/>
    </row>
    <row r="144" ht="15.75" customHeight="1">
      <c r="F144" s="14"/>
      <c r="G144" s="15"/>
      <c r="H144" s="15"/>
      <c r="I144" s="10"/>
      <c r="U144" s="10"/>
    </row>
    <row r="145" ht="15.75" customHeight="1">
      <c r="F145" s="14"/>
      <c r="G145" s="15"/>
      <c r="H145" s="15"/>
      <c r="I145" s="10"/>
      <c r="U145" s="10"/>
    </row>
    <row r="146" ht="15.75" customHeight="1">
      <c r="F146" s="14"/>
      <c r="G146" s="15"/>
      <c r="H146" s="15"/>
      <c r="I146" s="10"/>
      <c r="U146" s="10"/>
    </row>
    <row r="147" ht="15.75" customHeight="1">
      <c r="F147" s="14"/>
      <c r="G147" s="15"/>
      <c r="H147" s="15"/>
      <c r="I147" s="10"/>
      <c r="U147" s="10"/>
    </row>
    <row r="148" ht="15.75" customHeight="1">
      <c r="F148" s="14"/>
      <c r="G148" s="15"/>
      <c r="H148" s="15"/>
      <c r="I148" s="10"/>
      <c r="U148" s="10"/>
    </row>
    <row r="149" ht="15.75" customHeight="1">
      <c r="F149" s="14"/>
      <c r="G149" s="15"/>
      <c r="H149" s="15"/>
      <c r="I149" s="10"/>
      <c r="U149" s="10"/>
    </row>
    <row r="150" ht="15.75" customHeight="1">
      <c r="F150" s="14"/>
      <c r="G150" s="15"/>
      <c r="H150" s="15"/>
      <c r="I150" s="10"/>
      <c r="U150" s="10"/>
    </row>
    <row r="151" ht="15.75" customHeight="1">
      <c r="F151" s="14"/>
      <c r="G151" s="15"/>
      <c r="H151" s="15"/>
      <c r="I151" s="10"/>
      <c r="U151" s="10"/>
    </row>
    <row r="152" ht="15.75" customHeight="1">
      <c r="F152" s="14"/>
      <c r="G152" s="15"/>
      <c r="H152" s="15"/>
      <c r="I152" s="10"/>
      <c r="U152" s="10"/>
    </row>
    <row r="153" ht="15.75" customHeight="1">
      <c r="F153" s="14"/>
      <c r="G153" s="15"/>
      <c r="H153" s="15"/>
      <c r="I153" s="10"/>
      <c r="U153" s="10"/>
    </row>
    <row r="154" ht="15.75" customHeight="1">
      <c r="F154" s="14"/>
      <c r="G154" s="15"/>
      <c r="H154" s="15"/>
      <c r="I154" s="10"/>
      <c r="U154" s="10"/>
    </row>
    <row r="155" ht="15.75" customHeight="1">
      <c r="F155" s="14"/>
      <c r="G155" s="15"/>
      <c r="H155" s="15"/>
      <c r="I155" s="10"/>
      <c r="U155" s="10"/>
    </row>
    <row r="156" ht="15.75" customHeight="1">
      <c r="F156" s="14"/>
      <c r="G156" s="15"/>
      <c r="H156" s="15"/>
      <c r="I156" s="10"/>
      <c r="U156" s="10"/>
    </row>
    <row r="157" ht="15.75" customHeight="1">
      <c r="F157" s="14"/>
      <c r="G157" s="15"/>
      <c r="H157" s="15"/>
      <c r="I157" s="10"/>
      <c r="U157" s="10"/>
    </row>
    <row r="158" ht="15.75" customHeight="1">
      <c r="F158" s="14"/>
      <c r="G158" s="15"/>
      <c r="H158" s="15"/>
      <c r="I158" s="10"/>
      <c r="U158" s="10"/>
    </row>
    <row r="159" ht="15.75" customHeight="1">
      <c r="F159" s="14"/>
      <c r="G159" s="15"/>
      <c r="H159" s="15"/>
      <c r="I159" s="10"/>
      <c r="U159" s="10"/>
    </row>
    <row r="160" ht="15.75" customHeight="1">
      <c r="F160" s="14"/>
      <c r="G160" s="15"/>
      <c r="H160" s="15"/>
      <c r="I160" s="10"/>
      <c r="U160" s="10"/>
    </row>
    <row r="161" ht="15.75" customHeight="1">
      <c r="F161" s="14"/>
      <c r="G161" s="15"/>
      <c r="H161" s="15"/>
      <c r="I161" s="10"/>
      <c r="U161" s="10"/>
    </row>
    <row r="162" ht="15.75" customHeight="1">
      <c r="F162" s="14"/>
      <c r="G162" s="15"/>
      <c r="H162" s="15"/>
      <c r="I162" s="10"/>
      <c r="U162" s="10"/>
    </row>
    <row r="163" ht="15.75" customHeight="1">
      <c r="F163" s="14"/>
      <c r="G163" s="15"/>
      <c r="H163" s="15"/>
      <c r="I163" s="10"/>
      <c r="U163" s="10"/>
    </row>
    <row r="164" ht="15.75" customHeight="1">
      <c r="F164" s="14"/>
      <c r="G164" s="15"/>
      <c r="H164" s="15"/>
      <c r="I164" s="10"/>
      <c r="U164" s="10"/>
    </row>
    <row r="165" ht="15.75" customHeight="1">
      <c r="F165" s="14"/>
      <c r="G165" s="15"/>
      <c r="H165" s="15"/>
      <c r="I165" s="10"/>
      <c r="U165" s="10"/>
    </row>
    <row r="166" ht="15.75" customHeight="1">
      <c r="F166" s="14"/>
      <c r="G166" s="15"/>
      <c r="H166" s="15"/>
      <c r="I166" s="10"/>
      <c r="U166" s="10"/>
    </row>
    <row r="167" ht="15.75" customHeight="1">
      <c r="F167" s="14"/>
      <c r="G167" s="15"/>
      <c r="H167" s="15"/>
      <c r="I167" s="10"/>
      <c r="U167" s="10"/>
    </row>
    <row r="168" ht="15.75" customHeight="1">
      <c r="F168" s="14"/>
      <c r="G168" s="15"/>
      <c r="H168" s="15"/>
      <c r="I168" s="10"/>
      <c r="U168" s="10"/>
    </row>
    <row r="169" ht="15.75" customHeight="1">
      <c r="F169" s="14"/>
      <c r="G169" s="15"/>
      <c r="H169" s="15"/>
      <c r="I169" s="10"/>
      <c r="U169" s="10"/>
    </row>
    <row r="170" ht="15.75" customHeight="1">
      <c r="F170" s="14"/>
      <c r="G170" s="15"/>
      <c r="H170" s="15"/>
      <c r="I170" s="10"/>
      <c r="U170" s="10"/>
    </row>
    <row r="171" ht="15.75" customHeight="1">
      <c r="F171" s="14"/>
      <c r="G171" s="15"/>
      <c r="H171" s="15"/>
      <c r="I171" s="10"/>
      <c r="U171" s="10"/>
    </row>
    <row r="172" ht="15.75" customHeight="1">
      <c r="F172" s="14"/>
      <c r="G172" s="15"/>
      <c r="H172" s="15"/>
      <c r="I172" s="10"/>
      <c r="U172" s="10"/>
    </row>
    <row r="173" ht="15.75" customHeight="1">
      <c r="F173" s="14"/>
      <c r="G173" s="15"/>
      <c r="H173" s="15"/>
      <c r="I173" s="10"/>
      <c r="U173" s="10"/>
    </row>
    <row r="174" ht="15.75" customHeight="1">
      <c r="F174" s="14"/>
      <c r="G174" s="15"/>
      <c r="H174" s="15"/>
      <c r="I174" s="10"/>
      <c r="U174" s="10"/>
    </row>
    <row r="175" ht="15.75" customHeight="1">
      <c r="F175" s="14"/>
      <c r="G175" s="15"/>
      <c r="H175" s="15"/>
      <c r="I175" s="10"/>
      <c r="U175" s="10"/>
    </row>
    <row r="176" ht="15.75" customHeight="1">
      <c r="F176" s="14"/>
      <c r="G176" s="15"/>
      <c r="H176" s="15"/>
      <c r="I176" s="10"/>
      <c r="U176" s="10"/>
    </row>
    <row r="177" ht="15.75" customHeight="1">
      <c r="F177" s="14"/>
      <c r="G177" s="15"/>
      <c r="H177" s="15"/>
      <c r="I177" s="10"/>
      <c r="U177" s="10"/>
    </row>
    <row r="178" ht="15.75" customHeight="1">
      <c r="F178" s="14"/>
      <c r="G178" s="15"/>
      <c r="H178" s="15"/>
      <c r="I178" s="10"/>
      <c r="U178" s="10"/>
    </row>
    <row r="179" ht="15.75" customHeight="1">
      <c r="F179" s="14"/>
      <c r="G179" s="15"/>
      <c r="H179" s="15"/>
      <c r="I179" s="10"/>
      <c r="U179" s="10"/>
    </row>
    <row r="180" ht="15.75" customHeight="1">
      <c r="F180" s="14"/>
      <c r="G180" s="15"/>
      <c r="H180" s="15"/>
      <c r="I180" s="10"/>
      <c r="U180" s="10"/>
    </row>
    <row r="181" ht="15.75" customHeight="1">
      <c r="F181" s="14"/>
      <c r="G181" s="15"/>
      <c r="H181" s="15"/>
      <c r="I181" s="10"/>
      <c r="U181" s="10"/>
    </row>
    <row r="182" ht="15.75" customHeight="1">
      <c r="F182" s="14"/>
      <c r="G182" s="15"/>
      <c r="H182" s="15"/>
      <c r="I182" s="10"/>
      <c r="U182" s="10"/>
    </row>
    <row r="183" ht="15.75" customHeight="1">
      <c r="F183" s="14"/>
      <c r="G183" s="15"/>
      <c r="H183" s="15"/>
      <c r="I183" s="10"/>
      <c r="U183" s="10"/>
    </row>
    <row r="184" ht="15.75" customHeight="1">
      <c r="F184" s="14"/>
      <c r="G184" s="15"/>
      <c r="H184" s="15"/>
      <c r="I184" s="10"/>
      <c r="U184" s="10"/>
    </row>
    <row r="185" ht="15.75" customHeight="1">
      <c r="F185" s="14"/>
      <c r="G185" s="15"/>
      <c r="H185" s="15"/>
      <c r="I185" s="10"/>
      <c r="U185" s="10"/>
    </row>
    <row r="186" ht="15.75" customHeight="1">
      <c r="F186" s="14"/>
      <c r="G186" s="15"/>
      <c r="H186" s="15"/>
      <c r="I186" s="10"/>
      <c r="U186" s="10"/>
    </row>
    <row r="187" ht="15.75" customHeight="1">
      <c r="F187" s="14"/>
      <c r="G187" s="15"/>
      <c r="H187" s="15"/>
      <c r="I187" s="10"/>
      <c r="U187" s="10"/>
    </row>
    <row r="188" ht="15.75" customHeight="1">
      <c r="F188" s="14"/>
      <c r="G188" s="15"/>
      <c r="H188" s="15"/>
      <c r="I188" s="10"/>
      <c r="U188" s="10"/>
    </row>
    <row r="189" ht="15.75" customHeight="1">
      <c r="F189" s="14"/>
      <c r="G189" s="15"/>
      <c r="H189" s="15"/>
      <c r="I189" s="10"/>
      <c r="U189" s="10"/>
    </row>
    <row r="190" ht="15.75" customHeight="1">
      <c r="F190" s="14"/>
      <c r="G190" s="15"/>
      <c r="H190" s="15"/>
      <c r="I190" s="10"/>
      <c r="U190" s="10"/>
    </row>
    <row r="191" ht="15.75" customHeight="1">
      <c r="F191" s="14"/>
      <c r="G191" s="15"/>
      <c r="H191" s="15"/>
      <c r="I191" s="10"/>
      <c r="U191" s="10"/>
    </row>
    <row r="192" ht="15.75" customHeight="1">
      <c r="F192" s="14"/>
      <c r="G192" s="15"/>
      <c r="H192" s="15"/>
      <c r="I192" s="10"/>
      <c r="U192" s="10"/>
    </row>
    <row r="193" ht="15.75" customHeight="1">
      <c r="F193" s="14"/>
      <c r="G193" s="15"/>
      <c r="H193" s="15"/>
      <c r="I193" s="10"/>
      <c r="U193" s="10"/>
    </row>
    <row r="194" ht="15.75" customHeight="1">
      <c r="F194" s="14"/>
      <c r="G194" s="15"/>
      <c r="H194" s="15"/>
      <c r="I194" s="10"/>
      <c r="U194" s="10"/>
    </row>
    <row r="195" ht="15.75" customHeight="1">
      <c r="F195" s="14"/>
      <c r="G195" s="15"/>
      <c r="H195" s="15"/>
      <c r="I195" s="10"/>
      <c r="U195" s="10"/>
    </row>
    <row r="196" ht="15.75" customHeight="1">
      <c r="F196" s="14"/>
      <c r="G196" s="15"/>
      <c r="H196" s="15"/>
      <c r="I196" s="10"/>
      <c r="U196" s="10"/>
    </row>
    <row r="197" ht="15.75" customHeight="1">
      <c r="F197" s="14"/>
      <c r="G197" s="15"/>
      <c r="H197" s="15"/>
      <c r="I197" s="10"/>
      <c r="U197" s="10"/>
    </row>
    <row r="198" ht="15.75" customHeight="1">
      <c r="F198" s="14"/>
      <c r="G198" s="15"/>
      <c r="H198" s="15"/>
      <c r="I198" s="10"/>
      <c r="U198" s="10"/>
    </row>
    <row r="199" ht="15.75" customHeight="1">
      <c r="F199" s="14"/>
      <c r="G199" s="15"/>
      <c r="H199" s="15"/>
      <c r="I199" s="10"/>
      <c r="U199" s="10"/>
    </row>
    <row r="200" ht="15.75" customHeight="1">
      <c r="F200" s="14"/>
      <c r="G200" s="15"/>
      <c r="H200" s="15"/>
      <c r="I200" s="10"/>
      <c r="U200" s="1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2">
      <formula1>$B$1:$E$1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5.43"/>
    <col customWidth="1" min="3" max="3" width="16.57"/>
    <col customWidth="1" min="4" max="4" width="5.43"/>
    <col customWidth="1" min="5" max="5" width="15.43"/>
    <col customWidth="1" min="6" max="6" width="6.43"/>
    <col customWidth="1" min="7" max="7" width="11.57"/>
    <col customWidth="1" min="8" max="8" width="11.14"/>
    <col customWidth="1" min="9" max="9" width="9.14"/>
    <col customWidth="1" min="10" max="10" width="10.29"/>
    <col customWidth="1" min="12" max="12" width="16.57"/>
    <col customWidth="1" min="14" max="14" width="18.43"/>
    <col customWidth="1" min="15" max="15" width="15.14"/>
    <col customWidth="1" min="16" max="16" width="12.57"/>
    <col customWidth="1" min="17" max="17" width="9.86"/>
    <col customWidth="1" min="18" max="18" width="21.86"/>
    <col customWidth="1" min="19" max="19" width="12.71"/>
    <col customWidth="1" min="20" max="20" width="7.43"/>
  </cols>
  <sheetData>
    <row r="1">
      <c r="A1" s="23" t="s">
        <v>12</v>
      </c>
      <c r="B1" s="21" t="s">
        <v>4</v>
      </c>
      <c r="C1" s="21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525</v>
      </c>
      <c r="B2" s="20" t="str">
        <f t="array" ref="B2">XLOOKUP(A2,'Employee Record'!$M$2:$M$201,'Employee Record'!$E$2:$E$201)</f>
        <v>IT Support</v>
      </c>
      <c r="C2" s="26">
        <f t="array" ref="C2">INDEX('Employee Record'!$F$2:$F$201,MATCH('Employee Record'!M2,'Employee Record'!$M$2:$M$201,0))</f>
        <v>85</v>
      </c>
      <c r="F2" s="14"/>
      <c r="G2" s="15"/>
      <c r="H2" s="15"/>
      <c r="I2" s="10"/>
      <c r="U2" s="10"/>
    </row>
    <row r="3">
      <c r="A3" s="4" t="s">
        <v>526</v>
      </c>
      <c r="B3" s="20" t="str">
        <f t="array" ref="B3">XLOOKUP(A3,'Employee Record'!$M$2:$M$201,'Employee Record'!$E$2:$E$201)</f>
        <v>Accountant</v>
      </c>
      <c r="C3" s="26">
        <f t="array" ref="C3">INDEX('Employee Record'!$F$2:$F$201,MATCH('Employee Record'!M3,'Employee Record'!$M$2:$M$201,0))</f>
        <v>93</v>
      </c>
      <c r="F3" s="14"/>
      <c r="G3" s="15"/>
      <c r="H3" s="15"/>
      <c r="I3" s="10"/>
      <c r="U3" s="10"/>
    </row>
    <row r="4">
      <c r="A4" s="4" t="s">
        <v>527</v>
      </c>
      <c r="B4" s="20" t="str">
        <f t="array" ref="B4">XLOOKUP(A4,'Employee Record'!$M$2:$M$201,'Employee Record'!$E$2:$E$201)</f>
        <v>HR Assistant</v>
      </c>
      <c r="C4" s="26">
        <f t="array" ref="C4">INDEX('Employee Record'!$F$2:$F$201,MATCH('Employee Record'!M4,'Employee Record'!$M$2:$M$201,0))</f>
        <v>37</v>
      </c>
      <c r="H4" s="15"/>
      <c r="I4" s="10"/>
      <c r="U4" s="10"/>
    </row>
    <row r="5">
      <c r="A5" s="4" t="s">
        <v>528</v>
      </c>
      <c r="B5" s="20" t="str">
        <f t="array" ref="B5">XLOOKUP(A5,'Employee Record'!$M$2:$M$201,'Employee Record'!$E$2:$E$201)</f>
        <v>Financial Analyst</v>
      </c>
      <c r="C5" s="26">
        <f t="array" ref="C5">INDEX('Employee Record'!$F$2:$F$201,MATCH('Employee Record'!M5,'Employee Record'!$M$2:$M$201,0))</f>
        <v>87</v>
      </c>
      <c r="F5" s="14"/>
      <c r="G5" s="15"/>
      <c r="H5" s="15"/>
      <c r="I5" s="10"/>
      <c r="L5" s="22"/>
      <c r="U5" s="10"/>
    </row>
    <row r="6">
      <c r="A6" s="4" t="s">
        <v>545</v>
      </c>
      <c r="B6" s="20" t="str">
        <f t="array" ref="B6">XLOOKUP(A6,'Employee Record'!$M$2:$M$201,'Employee Record'!$E$2:$E$201)</f>
        <v>Accountant</v>
      </c>
      <c r="C6" s="26">
        <f t="array" ref="C6">INDEX('Employee Record'!$F$2:$F$201,MATCH('Employee Record'!M6,'Employee Record'!$M$2:$M$201,0))</f>
        <v>63</v>
      </c>
      <c r="F6" s="14"/>
      <c r="G6" s="15"/>
      <c r="H6" s="15"/>
      <c r="I6" s="10"/>
      <c r="U6" s="10"/>
    </row>
    <row r="7">
      <c r="A7" s="4" t="s">
        <v>546</v>
      </c>
      <c r="B7" s="20" t="str">
        <f t="array" ref="B7">XLOOKUP(A7,'Employee Record'!$M$2:$M$201,'Employee Record'!$E$2:$E$201)</f>
        <v>Sales Rep</v>
      </c>
      <c r="C7" s="26">
        <f t="array" ref="C7">INDEX('Employee Record'!$F$2:$F$201,MATCH('Employee Record'!M7,'Employee Record'!$M$2:$M$201,0))</f>
        <v>35</v>
      </c>
      <c r="F7" s="14"/>
      <c r="G7" s="15"/>
      <c r="H7" s="15"/>
      <c r="I7" s="10"/>
      <c r="U7" s="10"/>
    </row>
    <row r="8">
      <c r="A8" s="4" t="s">
        <v>547</v>
      </c>
      <c r="B8" s="20" t="str">
        <f t="array" ref="B8">XLOOKUP(A8,'Employee Record'!$M$2:$M$201,'Employee Record'!$E$2:$E$201)</f>
        <v>IT Support</v>
      </c>
      <c r="C8" s="26">
        <f t="array" ref="C8">INDEX('Employee Record'!$F$2:$F$201,MATCH('Employee Record'!M8,'Employee Record'!$M$2:$M$201,0))</f>
        <v>100</v>
      </c>
      <c r="F8" s="14"/>
      <c r="G8" s="15"/>
      <c r="H8" s="15"/>
      <c r="I8" s="10"/>
      <c r="U8" s="10"/>
    </row>
    <row r="9">
      <c r="A9" s="4" t="s">
        <v>548</v>
      </c>
      <c r="B9" s="20" t="str">
        <f t="array" ref="B9">XLOOKUP(A9,'Employee Record'!$M$2:$M$201,'Employee Record'!$E$2:$E$201)</f>
        <v>Account Exec</v>
      </c>
      <c r="C9" s="26">
        <f t="array" ref="C9">INDEX('Employee Record'!$F$2:$F$201,MATCH('Employee Record'!M9,'Employee Record'!$M$2:$M$201,0))</f>
        <v>65</v>
      </c>
      <c r="F9" s="14"/>
      <c r="G9" s="15"/>
      <c r="H9" s="15"/>
      <c r="I9" s="10"/>
      <c r="U9" s="10"/>
    </row>
    <row r="10">
      <c r="A10" s="4" t="s">
        <v>549</v>
      </c>
      <c r="B10" s="20" t="str">
        <f t="array" ref="B10">XLOOKUP(A10,'Employee Record'!$M$2:$M$201,'Employee Record'!$E$2:$E$201)</f>
        <v>Accountant</v>
      </c>
      <c r="C10" s="26">
        <f t="array" ref="C10">INDEX('Employee Record'!$F$2:$F$201,MATCH('Employee Record'!M10,'Employee Record'!$M$2:$M$201,0))</f>
        <v>64</v>
      </c>
      <c r="F10" s="14"/>
      <c r="G10" s="15"/>
      <c r="H10" s="15"/>
      <c r="I10" s="10"/>
      <c r="U10" s="10"/>
    </row>
    <row r="11">
      <c r="A11" s="4" t="s">
        <v>550</v>
      </c>
      <c r="B11" s="20" t="str">
        <f t="array" ref="B11">XLOOKUP(A11,'Employee Record'!$M$2:$M$201,'Employee Record'!$E$2:$E$201)</f>
        <v>Accountant</v>
      </c>
      <c r="C11" s="26">
        <f t="array" ref="C11">INDEX('Employee Record'!$F$2:$F$201,MATCH('Employee Record'!M11,'Employee Record'!$M$2:$M$201,0))</f>
        <v>53</v>
      </c>
      <c r="F11" s="14"/>
      <c r="G11" s="15"/>
      <c r="H11" s="15"/>
      <c r="I11" s="10"/>
      <c r="U11" s="10"/>
    </row>
    <row r="12">
      <c r="A12" s="4" t="s">
        <v>551</v>
      </c>
      <c r="B12" s="20" t="str">
        <f t="array" ref="B12">XLOOKUP(A12,'Employee Record'!$M$2:$M$201,'Employee Record'!$E$2:$E$201)</f>
        <v>Accountant</v>
      </c>
      <c r="C12" s="26">
        <f t="array" ref="C12">INDEX('Employee Record'!$F$2:$F$201,MATCH('Employee Record'!M12,'Employee Record'!$M$2:$M$201,0))</f>
        <v>62</v>
      </c>
      <c r="F12" s="14"/>
      <c r="G12" s="15"/>
      <c r="H12" s="15"/>
      <c r="I12" s="10"/>
      <c r="U12" s="10"/>
    </row>
    <row r="13">
      <c r="A13" s="4" t="s">
        <v>552</v>
      </c>
      <c r="B13" s="20" t="str">
        <f t="array" ref="B13">XLOOKUP(A13,'Employee Record'!$M$2:$M$201,'Employee Record'!$E$2:$E$201)</f>
        <v>HR Assistant</v>
      </c>
      <c r="C13" s="26">
        <f t="array" ref="C13">INDEX('Employee Record'!$F$2:$F$201,MATCH('Employee Record'!M13,'Employee Record'!$M$2:$M$201,0))</f>
        <v>82</v>
      </c>
      <c r="F13" s="14"/>
      <c r="G13" s="15"/>
      <c r="H13" s="15"/>
      <c r="I13" s="10"/>
      <c r="U13" s="10"/>
    </row>
    <row r="14">
      <c r="A14" s="4" t="s">
        <v>553</v>
      </c>
      <c r="B14" s="20" t="str">
        <f t="array" ref="B14">XLOOKUP(A14,'Employee Record'!$M$2:$M$201,'Employee Record'!$E$2:$E$201)</f>
        <v>Financial Analyst</v>
      </c>
      <c r="C14" s="26">
        <f t="array" ref="C14">INDEX('Employee Record'!$F$2:$F$201,MATCH('Employee Record'!M14,'Employee Record'!$M$2:$M$201,0))</f>
        <v>87</v>
      </c>
      <c r="F14" s="14"/>
      <c r="G14" s="15"/>
      <c r="H14" s="15"/>
      <c r="I14" s="10"/>
      <c r="U14" s="10"/>
    </row>
    <row r="15">
      <c r="A15" s="4" t="s">
        <v>554</v>
      </c>
      <c r="B15" s="20" t="str">
        <f t="array" ref="B15">XLOOKUP(A15,'Employee Record'!$M$2:$M$201,'Employee Record'!$E$2:$E$201)</f>
        <v>HR Manager</v>
      </c>
      <c r="C15" s="26">
        <f t="array" ref="C15">INDEX('Employee Record'!$F$2:$F$201,MATCH('Employee Record'!M15,'Employee Record'!$M$2:$M$201,0))</f>
        <v>73</v>
      </c>
      <c r="F15" s="14"/>
      <c r="G15" s="15"/>
      <c r="H15" s="15"/>
      <c r="I15" s="10"/>
      <c r="U15" s="10"/>
    </row>
    <row r="16">
      <c r="A16" s="4" t="s">
        <v>555</v>
      </c>
      <c r="B16" s="20" t="str">
        <f t="array" ref="B16">XLOOKUP(A16,'Employee Record'!$M$2:$M$201,'Employee Record'!$E$2:$E$201)</f>
        <v>Marketing Officer</v>
      </c>
      <c r="C16" s="26">
        <f t="array" ref="C16">INDEX('Employee Record'!$F$2:$F$201,MATCH('Employee Record'!M16,'Employee Record'!$M$2:$M$201,0))</f>
        <v>71</v>
      </c>
      <c r="F16" s="14"/>
      <c r="G16" s="15"/>
      <c r="H16" s="15"/>
      <c r="I16" s="10"/>
      <c r="U16" s="10"/>
    </row>
    <row r="17">
      <c r="A17" s="4" t="s">
        <v>556</v>
      </c>
      <c r="B17" s="20" t="str">
        <f t="array" ref="B17">XLOOKUP(A17,'Employee Record'!$M$2:$M$201,'Employee Record'!$E$2:$E$201)</f>
        <v>Account Exec</v>
      </c>
      <c r="C17" s="26">
        <f t="array" ref="C17">INDEX('Employee Record'!$F$2:$F$201,MATCH('Employee Record'!M17,'Employee Record'!$M$2:$M$201,0))</f>
        <v>94</v>
      </c>
      <c r="F17" s="14"/>
      <c r="G17" s="15"/>
      <c r="H17" s="15"/>
      <c r="I17" s="10"/>
      <c r="U17" s="10"/>
    </row>
    <row r="18">
      <c r="A18" s="4" t="s">
        <v>557</v>
      </c>
      <c r="B18" s="20" t="str">
        <f t="array" ref="B18">XLOOKUP(A18,'Employee Record'!$M$2:$M$201,'Employee Record'!$E$2:$E$201)</f>
        <v>IT Support</v>
      </c>
      <c r="C18" s="26">
        <f t="array" ref="C18">INDEX('Employee Record'!$F$2:$F$201,MATCH('Employee Record'!M18,'Employee Record'!$M$2:$M$201,0))</f>
        <v>87</v>
      </c>
      <c r="F18" s="14"/>
      <c r="G18" s="15"/>
      <c r="H18" s="15"/>
      <c r="I18" s="10"/>
      <c r="U18" s="10"/>
    </row>
    <row r="19">
      <c r="A19" s="4" t="s">
        <v>558</v>
      </c>
      <c r="B19" s="20" t="str">
        <f t="array" ref="B19">XLOOKUP(A19,'Employee Record'!$M$2:$M$201,'Employee Record'!$E$2:$E$201)</f>
        <v>Brand Manager</v>
      </c>
      <c r="C19" s="26">
        <f t="array" ref="C19">INDEX('Employee Record'!$F$2:$F$201,MATCH('Employee Record'!M19,'Employee Record'!$M$2:$M$201,0))</f>
        <v>65</v>
      </c>
      <c r="F19" s="14"/>
      <c r="G19" s="15"/>
      <c r="H19" s="15"/>
      <c r="I19" s="10"/>
      <c r="U19" s="10"/>
    </row>
    <row r="20">
      <c r="A20" s="4" t="s">
        <v>559</v>
      </c>
      <c r="B20" s="20" t="str">
        <f t="array" ref="B20">XLOOKUP(A20,'Employee Record'!$M$2:$M$201,'Employee Record'!$E$2:$E$201)</f>
        <v>System Admin</v>
      </c>
      <c r="C20" s="26">
        <f t="array" ref="C20">INDEX('Employee Record'!$F$2:$F$201,MATCH('Employee Record'!M20,'Employee Record'!$M$2:$M$201,0))</f>
        <v>56</v>
      </c>
      <c r="F20" s="14"/>
      <c r="G20" s="15"/>
      <c r="H20" s="15"/>
      <c r="I20" s="10"/>
      <c r="U20" s="10"/>
    </row>
    <row r="21" ht="15.75" customHeight="1">
      <c r="A21" s="4" t="s">
        <v>560</v>
      </c>
      <c r="B21" s="20" t="str">
        <f t="array" ref="B21">XLOOKUP(A21,'Employee Record'!$M$2:$M$201,'Employee Record'!$E$2:$E$201)</f>
        <v>System Admin</v>
      </c>
      <c r="C21" s="26">
        <f t="array" ref="C21">INDEX('Employee Record'!$F$2:$F$201,MATCH('Employee Record'!M21,'Employee Record'!$M$2:$M$201,0))</f>
        <v>59</v>
      </c>
      <c r="F21" s="14"/>
      <c r="G21" s="15"/>
      <c r="H21" s="15"/>
      <c r="I21" s="10"/>
      <c r="U21" s="10"/>
    </row>
    <row r="22" ht="15.75" customHeight="1">
      <c r="A22" s="4" t="s">
        <v>561</v>
      </c>
      <c r="B22" s="20" t="str">
        <f t="array" ref="B22">XLOOKUP(A22,'Employee Record'!$M$2:$M$201,'Employee Record'!$E$2:$E$201)</f>
        <v>Brand Manager</v>
      </c>
      <c r="C22" s="26">
        <f t="array" ref="C22">INDEX('Employee Record'!$F$2:$F$201,MATCH('Employee Record'!M22,'Employee Record'!$M$2:$M$201,0))</f>
        <v>98</v>
      </c>
      <c r="F22" s="14"/>
      <c r="G22" s="15"/>
      <c r="H22" s="15"/>
      <c r="I22" s="10"/>
      <c r="U22" s="10"/>
    </row>
    <row r="23" ht="15.75" customHeight="1">
      <c r="A23" s="4" t="s">
        <v>562</v>
      </c>
      <c r="B23" s="20" t="str">
        <f t="array" ref="B23">XLOOKUP(A23,'Employee Record'!$M$2:$M$201,'Employee Record'!$E$2:$E$201)</f>
        <v>Financial Analyst</v>
      </c>
      <c r="C23" s="26">
        <f t="array" ref="C23">INDEX('Employee Record'!$F$2:$F$201,MATCH('Employee Record'!M23,'Employee Record'!$M$2:$M$201,0))</f>
        <v>38</v>
      </c>
      <c r="F23" s="14"/>
      <c r="G23" s="15"/>
      <c r="H23" s="15"/>
      <c r="I23" s="10"/>
      <c r="U23" s="10"/>
    </row>
    <row r="24" ht="15.75" customHeight="1">
      <c r="A24" s="4" t="s">
        <v>563</v>
      </c>
      <c r="B24" s="20" t="str">
        <f t="array" ref="B24">XLOOKUP(A24,'Employee Record'!$M$2:$M$201,'Employee Record'!$E$2:$E$201)</f>
        <v>Account Exec</v>
      </c>
      <c r="C24" s="26">
        <f t="array" ref="C24">INDEX('Employee Record'!$F$2:$F$201,MATCH('Employee Record'!M24,'Employee Record'!$M$2:$M$201,0))</f>
        <v>58</v>
      </c>
      <c r="F24" s="14"/>
      <c r="G24" s="15"/>
      <c r="H24" s="15"/>
      <c r="I24" s="10"/>
      <c r="U24" s="10"/>
    </row>
    <row r="25" ht="15.75" customHeight="1">
      <c r="A25" s="4" t="s">
        <v>564</v>
      </c>
      <c r="B25" s="20" t="str">
        <f t="array" ref="B25">XLOOKUP(A25,'Employee Record'!$M$2:$M$201,'Employee Record'!$E$2:$E$201)</f>
        <v>Financial Analyst</v>
      </c>
      <c r="C25" s="26">
        <f t="array" ref="C25">INDEX('Employee Record'!$F$2:$F$201,MATCH('Employee Record'!M25,'Employee Record'!$M$2:$M$201,0))</f>
        <v>65</v>
      </c>
      <c r="F25" s="14"/>
      <c r="G25" s="15"/>
      <c r="H25" s="15"/>
      <c r="I25" s="10"/>
      <c r="U25" s="10"/>
    </row>
    <row r="26" ht="15.75" customHeight="1">
      <c r="A26" s="4" t="s">
        <v>565</v>
      </c>
      <c r="B26" s="20" t="str">
        <f t="array" ref="B26">XLOOKUP(A26,'Employee Record'!$M$2:$M$201,'Employee Record'!$E$2:$E$201)</f>
        <v>HR Assistant</v>
      </c>
      <c r="C26" s="26">
        <f t="array" ref="C26">INDEX('Employee Record'!$F$2:$F$201,MATCH('Employee Record'!M26,'Employee Record'!$M$2:$M$201,0))</f>
        <v>89</v>
      </c>
      <c r="F26" s="14"/>
      <c r="G26" s="15"/>
      <c r="H26" s="15"/>
      <c r="I26" s="10"/>
      <c r="U26" s="10"/>
    </row>
    <row r="27" ht="15.75" customHeight="1">
      <c r="A27" s="4" t="s">
        <v>566</v>
      </c>
      <c r="B27" s="20" t="str">
        <f t="array" ref="B27">XLOOKUP(A27,'Employee Record'!$M$2:$M$201,'Employee Record'!$E$2:$E$201)</f>
        <v>Accountant</v>
      </c>
      <c r="C27" s="26">
        <f t="array" ref="C27">INDEX('Employee Record'!$F$2:$F$201,MATCH('Employee Record'!M27,'Employee Record'!$M$2:$M$201,0))</f>
        <v>51</v>
      </c>
      <c r="F27" s="14"/>
      <c r="G27" s="15"/>
      <c r="H27" s="15"/>
      <c r="I27" s="10"/>
      <c r="U27" s="10"/>
    </row>
    <row r="28" ht="15.75" customHeight="1">
      <c r="A28" s="4" t="s">
        <v>567</v>
      </c>
      <c r="B28" s="20" t="str">
        <f t="array" ref="B28">XLOOKUP(A28,'Employee Record'!$M$2:$M$201,'Employee Record'!$E$2:$E$201)</f>
        <v>HR Assistant</v>
      </c>
      <c r="C28" s="26">
        <f t="array" ref="C28">INDEX('Employee Record'!$F$2:$F$201,MATCH('Employee Record'!M28,'Employee Record'!$M$2:$M$201,0))</f>
        <v>81</v>
      </c>
      <c r="F28" s="14"/>
      <c r="G28" s="15"/>
      <c r="H28" s="15"/>
      <c r="I28" s="10"/>
      <c r="U28" s="10"/>
    </row>
    <row r="29" ht="15.75" customHeight="1">
      <c r="A29" s="4" t="s">
        <v>568</v>
      </c>
      <c r="B29" s="20" t="str">
        <f t="array" ref="B29">XLOOKUP(A29,'Employee Record'!$M$2:$M$201,'Employee Record'!$E$2:$E$201)</f>
        <v>Sales Rep</v>
      </c>
      <c r="C29" s="26">
        <f t="array" ref="C29">INDEX('Employee Record'!$F$2:$F$201,MATCH('Employee Record'!M29,'Employee Record'!$M$2:$M$201,0))</f>
        <v>37</v>
      </c>
      <c r="F29" s="14"/>
      <c r="G29" s="15"/>
      <c r="H29" s="15"/>
      <c r="I29" s="10"/>
      <c r="U29" s="10"/>
    </row>
    <row r="30" ht="15.75" customHeight="1">
      <c r="A30" s="4" t="s">
        <v>569</v>
      </c>
      <c r="B30" s="20" t="str">
        <f t="array" ref="B30">XLOOKUP(A30,'Employee Record'!$M$2:$M$201,'Employee Record'!$E$2:$E$201)</f>
        <v>Marketing Officer</v>
      </c>
      <c r="C30" s="26">
        <f t="array" ref="C30">INDEX('Employee Record'!$F$2:$F$201,MATCH('Employee Record'!M30,'Employee Record'!$M$2:$M$201,0))</f>
        <v>30</v>
      </c>
      <c r="F30" s="14"/>
      <c r="G30" s="15"/>
      <c r="H30" s="15"/>
      <c r="I30" s="10"/>
      <c r="U30" s="10"/>
    </row>
    <row r="31" ht="15.75" customHeight="1">
      <c r="A31" s="4" t="s">
        <v>570</v>
      </c>
      <c r="B31" s="20" t="str">
        <f t="array" ref="B31">XLOOKUP(A31,'Employee Record'!$M$2:$M$201,'Employee Record'!$E$2:$E$201)</f>
        <v>IT Support</v>
      </c>
      <c r="C31" s="26">
        <f t="array" ref="C31">INDEX('Employee Record'!$F$2:$F$201,MATCH('Employee Record'!M31,'Employee Record'!$M$2:$M$201,0))</f>
        <v>97</v>
      </c>
      <c r="F31" s="14"/>
      <c r="G31" s="15"/>
      <c r="H31" s="15"/>
      <c r="I31" s="10"/>
      <c r="U31" s="10"/>
    </row>
    <row r="32" ht="15.75" customHeight="1">
      <c r="A32" s="4" t="s">
        <v>571</v>
      </c>
      <c r="B32" s="20" t="str">
        <f t="array" ref="B32">XLOOKUP(A32,'Employee Record'!$M$2:$M$201,'Employee Record'!$E$2:$E$201)</f>
        <v>Account Exec</v>
      </c>
      <c r="C32" s="26">
        <f t="array" ref="C32">INDEX('Employee Record'!$F$2:$F$201,MATCH('Employee Record'!M32,'Employee Record'!$M$2:$M$201,0))</f>
        <v>71</v>
      </c>
      <c r="F32" s="14"/>
      <c r="G32" s="15"/>
      <c r="H32" s="15"/>
      <c r="I32" s="10"/>
      <c r="U32" s="10"/>
    </row>
    <row r="33" ht="15.75" customHeight="1">
      <c r="A33" s="4" t="s">
        <v>572</v>
      </c>
      <c r="B33" s="20" t="str">
        <f t="array" ref="B33">XLOOKUP(A33,'Employee Record'!$M$2:$M$201,'Employee Record'!$E$2:$E$201)</f>
        <v>Marketing Officer</v>
      </c>
      <c r="C33" s="26">
        <f t="array" ref="C33">INDEX('Employee Record'!$F$2:$F$201,MATCH('Employee Record'!M33,'Employee Record'!$M$2:$M$201,0))</f>
        <v>45</v>
      </c>
      <c r="F33" s="14"/>
      <c r="G33" s="15"/>
      <c r="H33" s="15"/>
      <c r="I33" s="10"/>
      <c r="U33" s="10"/>
    </row>
    <row r="34" ht="15.75" customHeight="1">
      <c r="A34" s="4" t="s">
        <v>573</v>
      </c>
      <c r="B34" s="20" t="str">
        <f t="array" ref="B34">XLOOKUP(A34,'Employee Record'!$M$2:$M$201,'Employee Record'!$E$2:$E$201)</f>
        <v>Marketing Officer</v>
      </c>
      <c r="C34" s="26">
        <f t="array" ref="C34">INDEX('Employee Record'!$F$2:$F$201,MATCH('Employee Record'!M34,'Employee Record'!$M$2:$M$201,0))</f>
        <v>68</v>
      </c>
      <c r="F34" s="14"/>
      <c r="G34" s="15"/>
      <c r="H34" s="15"/>
      <c r="I34" s="10"/>
      <c r="U34" s="10"/>
    </row>
    <row r="35" ht="15.75" customHeight="1">
      <c r="A35" s="4" t="s">
        <v>574</v>
      </c>
      <c r="B35" s="20" t="str">
        <f t="array" ref="B35">XLOOKUP(A35,'Employee Record'!$M$2:$M$201,'Employee Record'!$E$2:$E$201)</f>
        <v>Marketing Officer</v>
      </c>
      <c r="C35" s="26">
        <f t="array" ref="C35">INDEX('Employee Record'!$F$2:$F$201,MATCH('Employee Record'!M35,'Employee Record'!$M$2:$M$201,0))</f>
        <v>52</v>
      </c>
      <c r="F35" s="14"/>
      <c r="G35" s="15"/>
      <c r="H35" s="15"/>
      <c r="I35" s="10"/>
      <c r="U35" s="10"/>
    </row>
    <row r="36" ht="15.75" customHeight="1">
      <c r="A36" s="4" t="s">
        <v>575</v>
      </c>
      <c r="B36" s="20" t="str">
        <f t="array" ref="B36">XLOOKUP(A36,'Employee Record'!$M$2:$M$201,'Employee Record'!$E$2:$E$201)</f>
        <v>Accountant</v>
      </c>
      <c r="C36" s="26">
        <f t="array" ref="C36">INDEX('Employee Record'!$F$2:$F$201,MATCH('Employee Record'!M36,'Employee Record'!$M$2:$M$201,0))</f>
        <v>41</v>
      </c>
      <c r="F36" s="14"/>
      <c r="G36" s="15"/>
      <c r="H36" s="15"/>
      <c r="I36" s="10"/>
      <c r="U36" s="10"/>
    </row>
    <row r="37" ht="15.75" customHeight="1">
      <c r="A37" s="4" t="s">
        <v>576</v>
      </c>
      <c r="B37" s="20" t="str">
        <f t="array" ref="B37">XLOOKUP(A37,'Employee Record'!$M$2:$M$201,'Employee Record'!$E$2:$E$201)</f>
        <v>Sales Rep</v>
      </c>
      <c r="C37" s="26">
        <f t="array" ref="C37">INDEX('Employee Record'!$F$2:$F$201,MATCH('Employee Record'!M37,'Employee Record'!$M$2:$M$201,0))</f>
        <v>71</v>
      </c>
      <c r="F37" s="14"/>
      <c r="G37" s="15"/>
      <c r="H37" s="15"/>
      <c r="I37" s="10"/>
      <c r="U37" s="10"/>
    </row>
    <row r="38" ht="15.75" customHeight="1">
      <c r="A38" s="4" t="s">
        <v>577</v>
      </c>
      <c r="B38" s="20" t="str">
        <f t="array" ref="B38">XLOOKUP(A38,'Employee Record'!$M$2:$M$201,'Employee Record'!$E$2:$E$201)</f>
        <v>Sales Rep</v>
      </c>
      <c r="C38" s="26">
        <f t="array" ref="C38">INDEX('Employee Record'!$F$2:$F$201,MATCH('Employee Record'!M38,'Employee Record'!$M$2:$M$201,0))</f>
        <v>72</v>
      </c>
      <c r="F38" s="14"/>
      <c r="G38" s="15"/>
      <c r="H38" s="15"/>
      <c r="I38" s="10"/>
      <c r="U38" s="10"/>
    </row>
    <row r="39" ht="15.75" customHeight="1">
      <c r="A39" s="4" t="s">
        <v>578</v>
      </c>
      <c r="B39" s="20" t="str">
        <f t="array" ref="B39">XLOOKUP(A39,'Employee Record'!$M$2:$M$201,'Employee Record'!$E$2:$E$201)</f>
        <v>IT Support</v>
      </c>
      <c r="C39" s="26">
        <f t="array" ref="C39">INDEX('Employee Record'!$F$2:$F$201,MATCH('Employee Record'!M39,'Employee Record'!$M$2:$M$201,0))</f>
        <v>83</v>
      </c>
      <c r="F39" s="14"/>
      <c r="G39" s="15"/>
      <c r="H39" s="15"/>
      <c r="I39" s="10"/>
      <c r="U39" s="10"/>
    </row>
    <row r="40" ht="15.75" customHeight="1">
      <c r="A40" s="4" t="s">
        <v>579</v>
      </c>
      <c r="B40" s="20" t="str">
        <f t="array" ref="B40">XLOOKUP(A40,'Employee Record'!$M$2:$M$201,'Employee Record'!$E$2:$E$201)</f>
        <v>IT Support</v>
      </c>
      <c r="C40" s="26">
        <f t="array" ref="C40">INDEX('Employee Record'!$F$2:$F$201,MATCH('Employee Record'!M40,'Employee Record'!$M$2:$M$201,0))</f>
        <v>93</v>
      </c>
      <c r="F40" s="14"/>
      <c r="G40" s="15"/>
      <c r="H40" s="15"/>
      <c r="I40" s="10"/>
      <c r="U40" s="10"/>
    </row>
    <row r="41" ht="15.75" customHeight="1">
      <c r="A41" s="4" t="s">
        <v>580</v>
      </c>
      <c r="B41" s="20" t="str">
        <f t="array" ref="B41">XLOOKUP(A41,'Employee Record'!$M$2:$M$201,'Employee Record'!$E$2:$E$201)</f>
        <v>Marketing Officer</v>
      </c>
      <c r="C41" s="26">
        <f t="array" ref="C41">INDEX('Employee Record'!$F$2:$F$201,MATCH('Employee Record'!M41,'Employee Record'!$M$2:$M$201,0))</f>
        <v>87</v>
      </c>
      <c r="F41" s="14"/>
      <c r="G41" s="15"/>
      <c r="H41" s="15"/>
      <c r="I41" s="10"/>
      <c r="U41" s="10"/>
    </row>
    <row r="42" ht="15.75" customHeight="1">
      <c r="A42" s="4" t="s">
        <v>581</v>
      </c>
      <c r="B42" s="20" t="str">
        <f t="array" ref="B42">XLOOKUP(A42,'Employee Record'!$M$2:$M$201,'Employee Record'!$E$2:$E$201)</f>
        <v>Accountant</v>
      </c>
      <c r="C42" s="26">
        <f t="array" ref="C42">INDEX('Employee Record'!$F$2:$F$201,MATCH('Employee Record'!M42,'Employee Record'!$M$2:$M$201,0))</f>
        <v>69</v>
      </c>
      <c r="F42" s="14"/>
      <c r="G42" s="15"/>
      <c r="H42" s="15"/>
      <c r="I42" s="10"/>
      <c r="U42" s="10"/>
    </row>
    <row r="43" ht="15.75" customHeight="1">
      <c r="A43" s="4" t="s">
        <v>582</v>
      </c>
      <c r="B43" s="20" t="str">
        <f t="array" ref="B43">XLOOKUP(A43,'Employee Record'!$M$2:$M$201,'Employee Record'!$E$2:$E$201)</f>
        <v>Financial Analyst</v>
      </c>
      <c r="C43" s="26">
        <f t="array" ref="C43">INDEX('Employee Record'!$F$2:$F$201,MATCH('Employee Record'!M43,'Employee Record'!$M$2:$M$201,0))</f>
        <v>47</v>
      </c>
      <c r="F43" s="14"/>
      <c r="G43" s="15"/>
      <c r="H43" s="15"/>
      <c r="I43" s="10"/>
      <c r="U43" s="10"/>
    </row>
    <row r="44" ht="15.75" customHeight="1">
      <c r="A44" s="4" t="s">
        <v>583</v>
      </c>
      <c r="B44" s="20" t="str">
        <f t="array" ref="B44">XLOOKUP(A44,'Employee Record'!$M$2:$M$201,'Employee Record'!$E$2:$E$201)</f>
        <v>HR Manager</v>
      </c>
      <c r="C44" s="26">
        <f t="array" ref="C44">INDEX('Employee Record'!$F$2:$F$201,MATCH('Employee Record'!M44,'Employee Record'!$M$2:$M$201,0))</f>
        <v>54</v>
      </c>
      <c r="F44" s="14"/>
      <c r="G44" s="15"/>
      <c r="H44" s="15"/>
      <c r="I44" s="10"/>
      <c r="U44" s="10"/>
    </row>
    <row r="45" ht="15.75" customHeight="1">
      <c r="A45" s="4" t="s">
        <v>584</v>
      </c>
      <c r="B45" s="20" t="str">
        <f t="array" ref="B45">XLOOKUP(A45,'Employee Record'!$M$2:$M$201,'Employee Record'!$E$2:$E$201)</f>
        <v>Accountant</v>
      </c>
      <c r="C45" s="26">
        <f t="array" ref="C45">INDEX('Employee Record'!$F$2:$F$201,MATCH('Employee Record'!M45,'Employee Record'!$M$2:$M$201,0))</f>
        <v>78</v>
      </c>
      <c r="F45" s="14"/>
      <c r="G45" s="15"/>
      <c r="H45" s="15"/>
      <c r="I45" s="10"/>
      <c r="U45" s="10"/>
    </row>
    <row r="46" ht="15.75" customHeight="1">
      <c r="A46" s="4" t="s">
        <v>585</v>
      </c>
      <c r="B46" s="20" t="str">
        <f t="array" ref="B46">XLOOKUP(A46,'Employee Record'!$M$2:$M$201,'Employee Record'!$E$2:$E$201)</f>
        <v>HR Manager</v>
      </c>
      <c r="C46" s="26">
        <f t="array" ref="C46">INDEX('Employee Record'!$F$2:$F$201,MATCH('Employee Record'!M46,'Employee Record'!$M$2:$M$201,0))</f>
        <v>87</v>
      </c>
      <c r="F46" s="14"/>
      <c r="G46" s="15"/>
      <c r="H46" s="15"/>
      <c r="I46" s="10"/>
      <c r="U46" s="10"/>
    </row>
    <row r="47" ht="15.75" customHeight="1">
      <c r="A47" s="4" t="s">
        <v>586</v>
      </c>
      <c r="B47" s="20" t="str">
        <f t="array" ref="B47">XLOOKUP(A47,'Employee Record'!$M$2:$M$201,'Employee Record'!$E$2:$E$201)</f>
        <v>Accountant</v>
      </c>
      <c r="C47" s="26">
        <f t="array" ref="C47">INDEX('Employee Record'!$F$2:$F$201,MATCH('Employee Record'!M47,'Employee Record'!$M$2:$M$201,0))</f>
        <v>62</v>
      </c>
      <c r="F47" s="14"/>
      <c r="G47" s="15"/>
      <c r="H47" s="15"/>
      <c r="I47" s="10"/>
      <c r="U47" s="10"/>
    </row>
    <row r="48" ht="15.75" customHeight="1">
      <c r="A48" s="4" t="s">
        <v>587</v>
      </c>
      <c r="B48" s="20" t="str">
        <f t="array" ref="B48">XLOOKUP(A48,'Employee Record'!$M$2:$M$201,'Employee Record'!$E$2:$E$201)</f>
        <v>HR Manager</v>
      </c>
      <c r="C48" s="26">
        <f t="array" ref="C48">INDEX('Employee Record'!$F$2:$F$201,MATCH('Employee Record'!M48,'Employee Record'!$M$2:$M$201,0))</f>
        <v>91</v>
      </c>
      <c r="F48" s="14"/>
      <c r="G48" s="15"/>
      <c r="H48" s="15"/>
      <c r="I48" s="10"/>
      <c r="U48" s="10"/>
    </row>
    <row r="49" ht="15.75" customHeight="1">
      <c r="A49" s="4" t="s">
        <v>588</v>
      </c>
      <c r="B49" s="20" t="str">
        <f t="array" ref="B49">XLOOKUP(A49,'Employee Record'!$M$2:$M$201,'Employee Record'!$E$2:$E$201)</f>
        <v>Brand Manager</v>
      </c>
      <c r="C49" s="26">
        <f t="array" ref="C49">INDEX('Employee Record'!$F$2:$F$201,MATCH('Employee Record'!M49,'Employee Record'!$M$2:$M$201,0))</f>
        <v>55</v>
      </c>
      <c r="F49" s="14"/>
      <c r="G49" s="15"/>
      <c r="H49" s="15"/>
      <c r="I49" s="10"/>
      <c r="U49" s="10"/>
    </row>
    <row r="50" ht="15.75" customHeight="1">
      <c r="A50" s="4" t="s">
        <v>589</v>
      </c>
      <c r="B50" s="20" t="str">
        <f t="array" ref="B50">XLOOKUP(A50,'Employee Record'!$M$2:$M$201,'Employee Record'!$E$2:$E$201)</f>
        <v>Marketing Officer</v>
      </c>
      <c r="C50" s="26">
        <f t="array" ref="C50">INDEX('Employee Record'!$F$2:$F$201,MATCH('Employee Record'!M50,'Employee Record'!$M$2:$M$201,0))</f>
        <v>96</v>
      </c>
      <c r="F50" s="14"/>
      <c r="G50" s="15"/>
      <c r="H50" s="15"/>
      <c r="I50" s="10"/>
      <c r="U50" s="10"/>
    </row>
    <row r="51" ht="15.75" customHeight="1">
      <c r="A51" s="4" t="s">
        <v>590</v>
      </c>
      <c r="B51" s="20" t="str">
        <f t="array" ref="B51">XLOOKUP(A51,'Employee Record'!$M$2:$M$201,'Employee Record'!$E$2:$E$201)</f>
        <v>Financial Analyst</v>
      </c>
      <c r="C51" s="26">
        <f t="array" ref="C51">INDEX('Employee Record'!$F$2:$F$201,MATCH('Employee Record'!M51,'Employee Record'!$M$2:$M$201,0))</f>
        <v>31</v>
      </c>
      <c r="F51" s="14"/>
      <c r="G51" s="15"/>
      <c r="H51" s="15"/>
      <c r="I51" s="10"/>
      <c r="U51" s="10"/>
    </row>
    <row r="52" ht="15.75" customHeight="1">
      <c r="A52" s="4" t="s">
        <v>591</v>
      </c>
      <c r="B52" s="20" t="str">
        <f t="array" ref="B52">XLOOKUP(A52,'Employee Record'!$M$2:$M$201,'Employee Record'!$E$2:$E$201)</f>
        <v>Account Exec</v>
      </c>
      <c r="C52" s="26">
        <f t="array" ref="C52">INDEX('Employee Record'!$F$2:$F$201,MATCH('Employee Record'!M52,'Employee Record'!$M$2:$M$201,0))</f>
        <v>34</v>
      </c>
      <c r="F52" s="14"/>
      <c r="G52" s="15"/>
      <c r="H52" s="15"/>
      <c r="I52" s="10"/>
      <c r="U52" s="10"/>
    </row>
    <row r="53" ht="15.75" customHeight="1">
      <c r="A53" s="4" t="s">
        <v>592</v>
      </c>
      <c r="B53" s="20" t="str">
        <f t="array" ref="B53">XLOOKUP(A53,'Employee Record'!$M$2:$M$201,'Employee Record'!$E$2:$E$201)</f>
        <v>IT Support</v>
      </c>
      <c r="C53" s="26">
        <f t="array" ref="C53">INDEX('Employee Record'!$F$2:$F$201,MATCH('Employee Record'!M53,'Employee Record'!$M$2:$M$201,0))</f>
        <v>46</v>
      </c>
      <c r="F53" s="14"/>
      <c r="G53" s="15"/>
      <c r="H53" s="15"/>
      <c r="I53" s="10"/>
      <c r="U53" s="10"/>
    </row>
    <row r="54" ht="15.75" customHeight="1">
      <c r="A54" s="4" t="s">
        <v>593</v>
      </c>
      <c r="B54" s="20" t="str">
        <f t="array" ref="B54">XLOOKUP(A54,'Employee Record'!$M$2:$M$201,'Employee Record'!$E$2:$E$201)</f>
        <v>Sales Rep</v>
      </c>
      <c r="C54" s="26">
        <f t="array" ref="C54">INDEX('Employee Record'!$F$2:$F$201,MATCH('Employee Record'!M54,'Employee Record'!$M$2:$M$201,0))</f>
        <v>40</v>
      </c>
      <c r="F54" s="14"/>
      <c r="G54" s="15"/>
      <c r="H54" s="15"/>
      <c r="I54" s="10"/>
      <c r="U54" s="10"/>
    </row>
    <row r="55" ht="15.75" customHeight="1">
      <c r="A55" s="4" t="s">
        <v>594</v>
      </c>
      <c r="B55" s="20" t="str">
        <f t="array" ref="B55">XLOOKUP(A55,'Employee Record'!$M$2:$M$201,'Employee Record'!$E$2:$E$201)</f>
        <v>Financial Analyst</v>
      </c>
      <c r="C55" s="26">
        <f t="array" ref="C55">INDEX('Employee Record'!$F$2:$F$201,MATCH('Employee Record'!M55,'Employee Record'!$M$2:$M$201,0))</f>
        <v>34</v>
      </c>
      <c r="F55" s="14"/>
      <c r="G55" s="15"/>
      <c r="H55" s="15"/>
      <c r="I55" s="10"/>
      <c r="U55" s="10"/>
    </row>
    <row r="56" ht="15.75" customHeight="1">
      <c r="A56" s="4" t="s">
        <v>595</v>
      </c>
      <c r="B56" s="20" t="str">
        <f t="array" ref="B56">XLOOKUP(A56,'Employee Record'!$M$2:$M$201,'Employee Record'!$E$2:$E$201)</f>
        <v>System Admin</v>
      </c>
      <c r="C56" s="26">
        <f t="array" ref="C56">INDEX('Employee Record'!$F$2:$F$201,MATCH('Employee Record'!M56,'Employee Record'!$M$2:$M$201,0))</f>
        <v>100</v>
      </c>
      <c r="F56" s="14"/>
      <c r="G56" s="15"/>
      <c r="H56" s="15"/>
      <c r="I56" s="10"/>
      <c r="U56" s="10"/>
    </row>
    <row r="57" ht="15.75" customHeight="1">
      <c r="A57" s="4" t="s">
        <v>596</v>
      </c>
      <c r="B57" s="20" t="str">
        <f t="array" ref="B57">XLOOKUP(A57,'Employee Record'!$M$2:$M$201,'Employee Record'!$E$2:$E$201)</f>
        <v>Marketing Officer</v>
      </c>
      <c r="C57" s="26">
        <f t="array" ref="C57">INDEX('Employee Record'!$F$2:$F$201,MATCH('Employee Record'!M57,'Employee Record'!$M$2:$M$201,0))</f>
        <v>75</v>
      </c>
      <c r="F57" s="14"/>
      <c r="G57" s="15"/>
      <c r="H57" s="15"/>
      <c r="I57" s="10"/>
      <c r="U57" s="10"/>
    </row>
    <row r="58" ht="15.75" customHeight="1">
      <c r="A58" s="4" t="s">
        <v>597</v>
      </c>
      <c r="B58" s="20" t="str">
        <f t="array" ref="B58">XLOOKUP(A58,'Employee Record'!$M$2:$M$201,'Employee Record'!$E$2:$E$201)</f>
        <v>Brand Manager</v>
      </c>
      <c r="C58" s="26">
        <f t="array" ref="C58">INDEX('Employee Record'!$F$2:$F$201,MATCH('Employee Record'!M58,'Employee Record'!$M$2:$M$201,0))</f>
        <v>85</v>
      </c>
      <c r="F58" s="14"/>
      <c r="G58" s="15"/>
      <c r="H58" s="15"/>
      <c r="I58" s="10"/>
      <c r="U58" s="10"/>
    </row>
    <row r="59" ht="15.75" customHeight="1">
      <c r="A59" s="4" t="s">
        <v>598</v>
      </c>
      <c r="B59" s="20" t="str">
        <f t="array" ref="B59">XLOOKUP(A59,'Employee Record'!$M$2:$M$201,'Employee Record'!$E$2:$E$201)</f>
        <v>IT Support</v>
      </c>
      <c r="C59" s="26">
        <f t="array" ref="C59">INDEX('Employee Record'!$F$2:$F$201,MATCH('Employee Record'!M59,'Employee Record'!$M$2:$M$201,0))</f>
        <v>74</v>
      </c>
      <c r="F59" s="14"/>
      <c r="G59" s="15"/>
      <c r="H59" s="15"/>
      <c r="I59" s="10"/>
      <c r="U59" s="10"/>
    </row>
    <row r="60" ht="15.75" customHeight="1">
      <c r="A60" s="4" t="s">
        <v>599</v>
      </c>
      <c r="B60" s="20" t="str">
        <f t="array" ref="B60">XLOOKUP(A60,'Employee Record'!$M$2:$M$201,'Employee Record'!$E$2:$E$201)</f>
        <v>HR Assistant</v>
      </c>
      <c r="C60" s="26">
        <f t="array" ref="C60">INDEX('Employee Record'!$F$2:$F$201,MATCH('Employee Record'!M60,'Employee Record'!$M$2:$M$201,0))</f>
        <v>31</v>
      </c>
      <c r="F60" s="14"/>
      <c r="G60" s="15"/>
      <c r="H60" s="15"/>
      <c r="I60" s="10"/>
      <c r="U60" s="10"/>
    </row>
    <row r="61" ht="15.75" customHeight="1">
      <c r="A61" s="4" t="s">
        <v>600</v>
      </c>
      <c r="B61" s="20" t="str">
        <f t="array" ref="B61">XLOOKUP(A61,'Employee Record'!$M$2:$M$201,'Employee Record'!$E$2:$E$201)</f>
        <v>Account Exec</v>
      </c>
      <c r="C61" s="26">
        <f t="array" ref="C61">INDEX('Employee Record'!$F$2:$F$201,MATCH('Employee Record'!M61,'Employee Record'!$M$2:$M$201,0))</f>
        <v>58</v>
      </c>
      <c r="F61" s="14"/>
      <c r="G61" s="15"/>
      <c r="H61" s="15"/>
      <c r="I61" s="10"/>
      <c r="U61" s="10"/>
    </row>
    <row r="62" ht="15.75" customHeight="1">
      <c r="A62" s="4" t="s">
        <v>601</v>
      </c>
      <c r="B62" s="20" t="str">
        <f t="array" ref="B62">XLOOKUP(A62,'Employee Record'!$M$2:$M$201,'Employee Record'!$E$2:$E$201)</f>
        <v>Developer</v>
      </c>
      <c r="C62" s="26">
        <f t="array" ref="C62">INDEX('Employee Record'!$F$2:$F$201,MATCH('Employee Record'!M62,'Employee Record'!$M$2:$M$201,0))</f>
        <v>66</v>
      </c>
      <c r="F62" s="14"/>
      <c r="G62" s="15"/>
      <c r="H62" s="15"/>
      <c r="I62" s="10"/>
      <c r="U62" s="10"/>
    </row>
    <row r="63" ht="15.75" customHeight="1">
      <c r="A63" s="4" t="s">
        <v>602</v>
      </c>
      <c r="B63" s="20" t="str">
        <f t="array" ref="B63">XLOOKUP(A63,'Employee Record'!$M$2:$M$201,'Employee Record'!$E$2:$E$201)</f>
        <v>IT Support</v>
      </c>
      <c r="C63" s="26">
        <f t="array" ref="C63">INDEX('Employee Record'!$F$2:$F$201,MATCH('Employee Record'!M63,'Employee Record'!$M$2:$M$201,0))</f>
        <v>42</v>
      </c>
      <c r="F63" s="14"/>
      <c r="G63" s="15"/>
      <c r="H63" s="15"/>
      <c r="I63" s="10"/>
      <c r="U63" s="10"/>
    </row>
    <row r="64" ht="15.75" customHeight="1">
      <c r="A64" s="4" t="s">
        <v>603</v>
      </c>
      <c r="B64" s="20" t="str">
        <f t="array" ref="B64">XLOOKUP(A64,'Employee Record'!$M$2:$M$201,'Employee Record'!$E$2:$E$201)</f>
        <v>Financial Analyst</v>
      </c>
      <c r="C64" s="26">
        <f t="array" ref="C64">INDEX('Employee Record'!$F$2:$F$201,MATCH('Employee Record'!M64,'Employee Record'!$M$2:$M$201,0))</f>
        <v>37</v>
      </c>
      <c r="F64" s="14"/>
      <c r="G64" s="15"/>
      <c r="H64" s="15"/>
      <c r="I64" s="10"/>
      <c r="U64" s="10"/>
    </row>
    <row r="65" ht="15.75" customHeight="1">
      <c r="A65" s="4" t="s">
        <v>604</v>
      </c>
      <c r="B65" s="20" t="str">
        <f t="array" ref="B65">XLOOKUP(A65,'Employee Record'!$M$2:$M$201,'Employee Record'!$E$2:$E$201)</f>
        <v>Sales Manager</v>
      </c>
      <c r="C65" s="26">
        <f t="array" ref="C65">INDEX('Employee Record'!$F$2:$F$201,MATCH('Employee Record'!M65,'Employee Record'!$M$2:$M$201,0))</f>
        <v>76</v>
      </c>
      <c r="F65" s="14"/>
      <c r="G65" s="15"/>
      <c r="H65" s="15"/>
      <c r="I65" s="10"/>
      <c r="U65" s="10"/>
    </row>
    <row r="66" ht="15.75" customHeight="1">
      <c r="A66" s="4" t="s">
        <v>605</v>
      </c>
      <c r="B66" s="20" t="str">
        <f t="array" ref="B66">XLOOKUP(A66,'Employee Record'!$M$2:$M$201,'Employee Record'!$E$2:$E$201)</f>
        <v>HR Manager</v>
      </c>
      <c r="C66" s="26">
        <f t="array" ref="C66">INDEX('Employee Record'!$F$2:$F$201,MATCH('Employee Record'!M66,'Employee Record'!$M$2:$M$201,0))</f>
        <v>57</v>
      </c>
      <c r="F66" s="14"/>
      <c r="G66" s="15"/>
      <c r="H66" s="15"/>
      <c r="I66" s="10"/>
      <c r="U66" s="10"/>
    </row>
    <row r="67" ht="15.75" customHeight="1">
      <c r="A67" s="4" t="s">
        <v>606</v>
      </c>
      <c r="B67" s="20" t="str">
        <f t="array" ref="B67">XLOOKUP(A67,'Employee Record'!$M$2:$M$201,'Employee Record'!$E$2:$E$201)</f>
        <v>Sales Rep</v>
      </c>
      <c r="C67" s="26">
        <f t="array" ref="C67">INDEX('Employee Record'!$F$2:$F$201,MATCH('Employee Record'!M67,'Employee Record'!$M$2:$M$201,0))</f>
        <v>46</v>
      </c>
      <c r="F67" s="14"/>
      <c r="G67" s="15"/>
      <c r="H67" s="15"/>
      <c r="I67" s="10"/>
      <c r="U67" s="10"/>
    </row>
    <row r="68" ht="15.75" customHeight="1">
      <c r="A68" s="4" t="s">
        <v>607</v>
      </c>
      <c r="B68" s="20" t="str">
        <f t="array" ref="B68">XLOOKUP(A68,'Employee Record'!$M$2:$M$201,'Employee Record'!$E$2:$E$201)</f>
        <v>Sales Manager</v>
      </c>
      <c r="C68" s="26">
        <f t="array" ref="C68">INDEX('Employee Record'!$F$2:$F$201,MATCH('Employee Record'!M68,'Employee Record'!$M$2:$M$201,0))</f>
        <v>67</v>
      </c>
      <c r="F68" s="14"/>
      <c r="G68" s="15"/>
      <c r="H68" s="15"/>
      <c r="I68" s="10"/>
      <c r="U68" s="10"/>
    </row>
    <row r="69" ht="15.75" customHeight="1">
      <c r="A69" s="4" t="s">
        <v>608</v>
      </c>
      <c r="B69" s="20" t="str">
        <f t="array" ref="B69">XLOOKUP(A69,'Employee Record'!$M$2:$M$201,'Employee Record'!$E$2:$E$201)</f>
        <v>Financial Analyst</v>
      </c>
      <c r="C69" s="26">
        <f t="array" ref="C69">INDEX('Employee Record'!$F$2:$F$201,MATCH('Employee Record'!M69,'Employee Record'!$M$2:$M$201,0))</f>
        <v>89</v>
      </c>
      <c r="F69" s="14"/>
      <c r="G69" s="15"/>
      <c r="H69" s="15"/>
      <c r="I69" s="10"/>
      <c r="U69" s="10"/>
    </row>
    <row r="70" ht="15.75" customHeight="1">
      <c r="A70" s="4" t="s">
        <v>609</v>
      </c>
      <c r="B70" s="20" t="str">
        <f t="array" ref="B70">XLOOKUP(A70,'Employee Record'!$M$2:$M$201,'Employee Record'!$E$2:$E$201)</f>
        <v>Accountant</v>
      </c>
      <c r="C70" s="26">
        <f t="array" ref="C70">INDEX('Employee Record'!$F$2:$F$201,MATCH('Employee Record'!M70,'Employee Record'!$M$2:$M$201,0))</f>
        <v>90</v>
      </c>
      <c r="F70" s="14"/>
      <c r="G70" s="15"/>
      <c r="H70" s="15"/>
      <c r="I70" s="10"/>
      <c r="U70" s="10"/>
    </row>
    <row r="71" ht="15.75" customHeight="1">
      <c r="A71" s="4" t="s">
        <v>610</v>
      </c>
      <c r="B71" s="20" t="str">
        <f t="array" ref="B71">XLOOKUP(A71,'Employee Record'!$M$2:$M$201,'Employee Record'!$E$2:$E$201)</f>
        <v>Brand Manager</v>
      </c>
      <c r="C71" s="26">
        <f t="array" ref="C71">INDEX('Employee Record'!$F$2:$F$201,MATCH('Employee Record'!M71,'Employee Record'!$M$2:$M$201,0))</f>
        <v>47</v>
      </c>
      <c r="F71" s="14"/>
      <c r="G71" s="15"/>
      <c r="H71" s="15"/>
      <c r="I71" s="10"/>
      <c r="U71" s="10"/>
    </row>
    <row r="72" ht="15.75" customHeight="1">
      <c r="A72" s="4" t="s">
        <v>611</v>
      </c>
      <c r="B72" s="20" t="str">
        <f t="array" ref="B72">XLOOKUP(A72,'Employee Record'!$M$2:$M$201,'Employee Record'!$E$2:$E$201)</f>
        <v>Accountant</v>
      </c>
      <c r="C72" s="26">
        <f t="array" ref="C72">INDEX('Employee Record'!$F$2:$F$201,MATCH('Employee Record'!M72,'Employee Record'!$M$2:$M$201,0))</f>
        <v>87</v>
      </c>
      <c r="F72" s="14"/>
      <c r="G72" s="15"/>
      <c r="H72" s="15"/>
      <c r="I72" s="10"/>
      <c r="U72" s="10"/>
    </row>
    <row r="73" ht="15.75" customHeight="1">
      <c r="A73" s="4" t="s">
        <v>612</v>
      </c>
      <c r="B73" s="20" t="str">
        <f t="array" ref="B73">XLOOKUP(A73,'Employee Record'!$M$2:$M$201,'Employee Record'!$E$2:$E$201)</f>
        <v>System Admin</v>
      </c>
      <c r="C73" s="26">
        <f t="array" ref="C73">INDEX('Employee Record'!$F$2:$F$201,MATCH('Employee Record'!M73,'Employee Record'!$M$2:$M$201,0))</f>
        <v>31</v>
      </c>
      <c r="F73" s="14"/>
      <c r="G73" s="15"/>
      <c r="H73" s="15"/>
      <c r="I73" s="10"/>
      <c r="U73" s="10"/>
    </row>
    <row r="74" ht="15.75" customHeight="1">
      <c r="A74" s="4" t="s">
        <v>613</v>
      </c>
      <c r="B74" s="20" t="str">
        <f t="array" ref="B74">XLOOKUP(A74,'Employee Record'!$M$2:$M$201,'Employee Record'!$E$2:$E$201)</f>
        <v>HR Assistant</v>
      </c>
      <c r="C74" s="26">
        <f t="array" ref="C74">INDEX('Employee Record'!$F$2:$F$201,MATCH('Employee Record'!M74,'Employee Record'!$M$2:$M$201,0))</f>
        <v>56</v>
      </c>
      <c r="F74" s="14"/>
      <c r="G74" s="15"/>
      <c r="H74" s="15"/>
      <c r="I74" s="10"/>
      <c r="U74" s="10"/>
    </row>
    <row r="75" ht="15.75" customHeight="1">
      <c r="A75" s="4" t="s">
        <v>614</v>
      </c>
      <c r="B75" s="20" t="str">
        <f t="array" ref="B75">XLOOKUP(A75,'Employee Record'!$M$2:$M$201,'Employee Record'!$E$2:$E$201)</f>
        <v>Accountant</v>
      </c>
      <c r="C75" s="26">
        <f t="array" ref="C75">INDEX('Employee Record'!$F$2:$F$201,MATCH('Employee Record'!M75,'Employee Record'!$M$2:$M$201,0))</f>
        <v>41</v>
      </c>
      <c r="F75" s="14"/>
      <c r="G75" s="15"/>
      <c r="H75" s="15"/>
      <c r="I75" s="10"/>
      <c r="U75" s="10"/>
    </row>
    <row r="76" ht="15.75" customHeight="1">
      <c r="A76" s="4" t="s">
        <v>615</v>
      </c>
      <c r="B76" s="20" t="str">
        <f t="array" ref="B76">XLOOKUP(A76,'Employee Record'!$M$2:$M$201,'Employee Record'!$E$2:$E$201)</f>
        <v>Developer</v>
      </c>
      <c r="C76" s="26">
        <f t="array" ref="C76">INDEX('Employee Record'!$F$2:$F$201,MATCH('Employee Record'!M76,'Employee Record'!$M$2:$M$201,0))</f>
        <v>69</v>
      </c>
      <c r="F76" s="14"/>
      <c r="G76" s="15"/>
      <c r="H76" s="15"/>
      <c r="I76" s="10"/>
      <c r="U76" s="10"/>
    </row>
    <row r="77" ht="15.75" customHeight="1">
      <c r="A77" s="4" t="s">
        <v>616</v>
      </c>
      <c r="B77" s="20" t="str">
        <f t="array" ref="B77">XLOOKUP(A77,'Employee Record'!$M$2:$M$201,'Employee Record'!$E$2:$E$201)</f>
        <v>Marketing Officer</v>
      </c>
      <c r="C77" s="26">
        <f t="array" ref="C77">INDEX('Employee Record'!$F$2:$F$201,MATCH('Employee Record'!M77,'Employee Record'!$M$2:$M$201,0))</f>
        <v>75</v>
      </c>
      <c r="F77" s="14"/>
      <c r="G77" s="15"/>
      <c r="H77" s="15"/>
      <c r="I77" s="10"/>
      <c r="U77" s="10"/>
    </row>
    <row r="78" ht="15.75" customHeight="1">
      <c r="A78" s="4" t="s">
        <v>617</v>
      </c>
      <c r="B78" s="20" t="str">
        <f t="array" ref="B78">XLOOKUP(A78,'Employee Record'!$M$2:$M$201,'Employee Record'!$E$2:$E$201)</f>
        <v>Accountant</v>
      </c>
      <c r="C78" s="26">
        <f t="array" ref="C78">INDEX('Employee Record'!$F$2:$F$201,MATCH('Employee Record'!M78,'Employee Record'!$M$2:$M$201,0))</f>
        <v>93</v>
      </c>
      <c r="F78" s="14"/>
      <c r="G78" s="15"/>
      <c r="H78" s="15"/>
      <c r="I78" s="10"/>
      <c r="U78" s="10"/>
    </row>
    <row r="79" ht="15.75" customHeight="1">
      <c r="A79" s="4" t="s">
        <v>618</v>
      </c>
      <c r="B79" s="20" t="str">
        <f t="array" ref="B79">XLOOKUP(A79,'Employee Record'!$M$2:$M$201,'Employee Record'!$E$2:$E$201)</f>
        <v>Sales Manager</v>
      </c>
      <c r="C79" s="26">
        <f t="array" ref="C79">INDEX('Employee Record'!$F$2:$F$201,MATCH('Employee Record'!M79,'Employee Record'!$M$2:$M$201,0))</f>
        <v>67</v>
      </c>
      <c r="F79" s="14"/>
      <c r="G79" s="15"/>
      <c r="H79" s="15"/>
      <c r="I79" s="10"/>
      <c r="U79" s="10"/>
    </row>
    <row r="80" ht="15.75" customHeight="1">
      <c r="A80" s="4" t="s">
        <v>619</v>
      </c>
      <c r="B80" s="20" t="str">
        <f t="array" ref="B80">XLOOKUP(A80,'Employee Record'!$M$2:$M$201,'Employee Record'!$E$2:$E$201)</f>
        <v>IT Support</v>
      </c>
      <c r="C80" s="26">
        <f t="array" ref="C80">INDEX('Employee Record'!$F$2:$F$201,MATCH('Employee Record'!M80,'Employee Record'!$M$2:$M$201,0))</f>
        <v>41</v>
      </c>
      <c r="F80" s="14"/>
      <c r="G80" s="15"/>
      <c r="H80" s="15"/>
      <c r="I80" s="10"/>
      <c r="U80" s="10"/>
    </row>
    <row r="81" ht="15.75" customHeight="1">
      <c r="A81" s="4" t="s">
        <v>620</v>
      </c>
      <c r="B81" s="20" t="str">
        <f t="array" ref="B81">XLOOKUP(A81,'Employee Record'!$M$2:$M$201,'Employee Record'!$E$2:$E$201)</f>
        <v>Developer</v>
      </c>
      <c r="C81" s="26">
        <f t="array" ref="C81">INDEX('Employee Record'!$F$2:$F$201,MATCH('Employee Record'!M81,'Employee Record'!$M$2:$M$201,0))</f>
        <v>47</v>
      </c>
      <c r="F81" s="14"/>
      <c r="G81" s="15"/>
      <c r="H81" s="15"/>
      <c r="I81" s="10"/>
      <c r="U81" s="10"/>
    </row>
    <row r="82" ht="15.75" customHeight="1">
      <c r="A82" s="4" t="s">
        <v>621</v>
      </c>
      <c r="B82" s="20" t="str">
        <f t="array" ref="B82">XLOOKUP(A82,'Employee Record'!$M$2:$M$201,'Employee Record'!$E$2:$E$201)</f>
        <v>HR Manager</v>
      </c>
      <c r="C82" s="26">
        <f t="array" ref="C82">INDEX('Employee Record'!$F$2:$F$201,MATCH('Employee Record'!M82,'Employee Record'!$M$2:$M$201,0))</f>
        <v>92</v>
      </c>
      <c r="F82" s="14"/>
      <c r="G82" s="15"/>
      <c r="H82" s="15"/>
      <c r="I82" s="10"/>
      <c r="U82" s="10"/>
    </row>
    <row r="83" ht="15.75" customHeight="1">
      <c r="A83" s="4" t="s">
        <v>622</v>
      </c>
      <c r="B83" s="20" t="str">
        <f t="array" ref="B83">XLOOKUP(A83,'Employee Record'!$M$2:$M$201,'Employee Record'!$E$2:$E$201)</f>
        <v>HR Manager</v>
      </c>
      <c r="C83" s="26">
        <f t="array" ref="C83">INDEX('Employee Record'!$F$2:$F$201,MATCH('Employee Record'!M83,'Employee Record'!$M$2:$M$201,0))</f>
        <v>81</v>
      </c>
      <c r="F83" s="14"/>
      <c r="G83" s="15"/>
      <c r="H83" s="15"/>
      <c r="I83" s="10"/>
      <c r="U83" s="10"/>
    </row>
    <row r="84" ht="15.75" customHeight="1">
      <c r="A84" s="4" t="s">
        <v>623</v>
      </c>
      <c r="B84" s="20" t="str">
        <f t="array" ref="B84">XLOOKUP(A84,'Employee Record'!$M$2:$M$201,'Employee Record'!$E$2:$E$201)</f>
        <v>Sales Rep</v>
      </c>
      <c r="C84" s="26">
        <f t="array" ref="C84">INDEX('Employee Record'!$F$2:$F$201,MATCH('Employee Record'!M84,'Employee Record'!$M$2:$M$201,0))</f>
        <v>58</v>
      </c>
      <c r="F84" s="14"/>
      <c r="G84" s="15"/>
      <c r="H84" s="15"/>
      <c r="I84" s="10"/>
      <c r="U84" s="10"/>
    </row>
    <row r="85" ht="15.75" customHeight="1">
      <c r="A85" s="4" t="s">
        <v>624</v>
      </c>
      <c r="B85" s="20" t="str">
        <f t="array" ref="B85">XLOOKUP(A85,'Employee Record'!$M$2:$M$201,'Employee Record'!$E$2:$E$201)</f>
        <v>Accountant</v>
      </c>
      <c r="C85" s="26">
        <f t="array" ref="C85">INDEX('Employee Record'!$F$2:$F$201,MATCH('Employee Record'!M85,'Employee Record'!$M$2:$M$201,0))</f>
        <v>61</v>
      </c>
      <c r="F85" s="14"/>
      <c r="G85" s="15"/>
      <c r="H85" s="15"/>
      <c r="I85" s="10"/>
      <c r="U85" s="10"/>
    </row>
    <row r="86" ht="15.75" customHeight="1">
      <c r="A86" s="4" t="s">
        <v>625</v>
      </c>
      <c r="B86" s="20" t="str">
        <f t="array" ref="B86">XLOOKUP(A86,'Employee Record'!$M$2:$M$201,'Employee Record'!$E$2:$E$201)</f>
        <v>Account Exec</v>
      </c>
      <c r="C86" s="26">
        <f t="array" ref="C86">INDEX('Employee Record'!$F$2:$F$201,MATCH('Employee Record'!M86,'Employee Record'!$M$2:$M$201,0))</f>
        <v>58</v>
      </c>
      <c r="F86" s="14"/>
      <c r="G86" s="15"/>
      <c r="H86" s="15"/>
      <c r="I86" s="10"/>
      <c r="U86" s="10"/>
    </row>
    <row r="87" ht="15.75" customHeight="1">
      <c r="A87" s="4" t="s">
        <v>626</v>
      </c>
      <c r="B87" s="20" t="str">
        <f t="array" ref="B87">XLOOKUP(A87,'Employee Record'!$M$2:$M$201,'Employee Record'!$E$2:$E$201)</f>
        <v>Developer</v>
      </c>
      <c r="C87" s="26">
        <f t="array" ref="C87">INDEX('Employee Record'!$F$2:$F$201,MATCH('Employee Record'!M87,'Employee Record'!$M$2:$M$201,0))</f>
        <v>61</v>
      </c>
      <c r="F87" s="14"/>
      <c r="G87" s="15"/>
      <c r="H87" s="15"/>
      <c r="I87" s="10"/>
      <c r="U87" s="10"/>
    </row>
    <row r="88" ht="15.75" customHeight="1">
      <c r="A88" s="4" t="s">
        <v>627</v>
      </c>
      <c r="B88" s="20" t="str">
        <f t="array" ref="B88">XLOOKUP(A88,'Employee Record'!$M$2:$M$201,'Employee Record'!$E$2:$E$201)</f>
        <v>Sales Rep</v>
      </c>
      <c r="C88" s="26">
        <f t="array" ref="C88">INDEX('Employee Record'!$F$2:$F$201,MATCH('Employee Record'!M88,'Employee Record'!$M$2:$M$201,0))</f>
        <v>59</v>
      </c>
      <c r="F88" s="14"/>
      <c r="G88" s="15"/>
      <c r="H88" s="15"/>
      <c r="I88" s="10"/>
      <c r="U88" s="10"/>
    </row>
    <row r="89" ht="15.75" customHeight="1">
      <c r="A89" s="4" t="s">
        <v>628</v>
      </c>
      <c r="B89" s="20" t="str">
        <f t="array" ref="B89">XLOOKUP(A89,'Employee Record'!$M$2:$M$201,'Employee Record'!$E$2:$E$201)</f>
        <v>Financial Analyst</v>
      </c>
      <c r="C89" s="26">
        <f t="array" ref="C89">INDEX('Employee Record'!$F$2:$F$201,MATCH('Employee Record'!M89,'Employee Record'!$M$2:$M$201,0))</f>
        <v>57</v>
      </c>
      <c r="F89" s="14"/>
      <c r="G89" s="15"/>
      <c r="H89" s="15"/>
      <c r="I89" s="10"/>
      <c r="U89" s="10"/>
    </row>
    <row r="90" ht="15.75" customHeight="1">
      <c r="A90" s="4" t="s">
        <v>629</v>
      </c>
      <c r="B90" s="20" t="str">
        <f t="array" ref="B90">XLOOKUP(A90,'Employee Record'!$M$2:$M$201,'Employee Record'!$E$2:$E$201)</f>
        <v>Accountant</v>
      </c>
      <c r="C90" s="26">
        <f t="array" ref="C90">INDEX('Employee Record'!$F$2:$F$201,MATCH('Employee Record'!M90,'Employee Record'!$M$2:$M$201,0))</f>
        <v>57</v>
      </c>
      <c r="F90" s="14"/>
      <c r="G90" s="15"/>
      <c r="H90" s="15"/>
      <c r="I90" s="10"/>
      <c r="U90" s="10"/>
    </row>
    <row r="91" ht="15.75" customHeight="1">
      <c r="A91" s="4" t="s">
        <v>630</v>
      </c>
      <c r="B91" s="20" t="str">
        <f t="array" ref="B91">XLOOKUP(A91,'Employee Record'!$M$2:$M$201,'Employee Record'!$E$2:$E$201)</f>
        <v>Developer</v>
      </c>
      <c r="C91" s="26">
        <f t="array" ref="C91">INDEX('Employee Record'!$F$2:$F$201,MATCH('Employee Record'!M91,'Employee Record'!$M$2:$M$201,0))</f>
        <v>95</v>
      </c>
      <c r="F91" s="14"/>
      <c r="G91" s="15"/>
      <c r="H91" s="15"/>
      <c r="I91" s="10"/>
      <c r="U91" s="10"/>
    </row>
    <row r="92" ht="15.75" customHeight="1">
      <c r="A92" s="4" t="s">
        <v>631</v>
      </c>
      <c r="B92" s="20" t="str">
        <f t="array" ref="B92">XLOOKUP(A92,'Employee Record'!$M$2:$M$201,'Employee Record'!$E$2:$E$201)</f>
        <v>Sales Rep</v>
      </c>
      <c r="C92" s="26">
        <f t="array" ref="C92">INDEX('Employee Record'!$F$2:$F$201,MATCH('Employee Record'!M92,'Employee Record'!$M$2:$M$201,0))</f>
        <v>51</v>
      </c>
      <c r="F92" s="14"/>
      <c r="G92" s="15"/>
      <c r="H92" s="15"/>
      <c r="I92" s="10"/>
      <c r="U92" s="10"/>
    </row>
    <row r="93" ht="15.75" customHeight="1">
      <c r="A93" s="4" t="s">
        <v>632</v>
      </c>
      <c r="B93" s="20" t="str">
        <f t="array" ref="B93">XLOOKUP(A93,'Employee Record'!$M$2:$M$201,'Employee Record'!$E$2:$E$201)</f>
        <v>Account Exec</v>
      </c>
      <c r="C93" s="26">
        <f t="array" ref="C93">INDEX('Employee Record'!$F$2:$F$201,MATCH('Employee Record'!M93,'Employee Record'!$M$2:$M$201,0))</f>
        <v>34</v>
      </c>
      <c r="F93" s="14"/>
      <c r="G93" s="15"/>
      <c r="H93" s="15"/>
      <c r="I93" s="10"/>
      <c r="U93" s="10"/>
    </row>
    <row r="94" ht="15.75" customHeight="1">
      <c r="A94" s="4" t="s">
        <v>633</v>
      </c>
      <c r="B94" s="20" t="str">
        <f t="array" ref="B94">XLOOKUP(A94,'Employee Record'!$M$2:$M$201,'Employee Record'!$E$2:$E$201)</f>
        <v>Accountant</v>
      </c>
      <c r="C94" s="26">
        <f t="array" ref="C94">INDEX('Employee Record'!$F$2:$F$201,MATCH('Employee Record'!M94,'Employee Record'!$M$2:$M$201,0))</f>
        <v>92</v>
      </c>
      <c r="F94" s="14"/>
      <c r="G94" s="15"/>
      <c r="H94" s="15"/>
      <c r="I94" s="10"/>
      <c r="U94" s="10"/>
    </row>
    <row r="95" ht="15.75" customHeight="1">
      <c r="A95" s="4" t="s">
        <v>634</v>
      </c>
      <c r="B95" s="20" t="str">
        <f t="array" ref="B95">XLOOKUP(A95,'Employee Record'!$M$2:$M$201,'Employee Record'!$E$2:$E$201)</f>
        <v>Financial Analyst</v>
      </c>
      <c r="C95" s="26">
        <f t="array" ref="C95">INDEX('Employee Record'!$F$2:$F$201,MATCH('Employee Record'!M95,'Employee Record'!$M$2:$M$201,0))</f>
        <v>92</v>
      </c>
      <c r="F95" s="14"/>
      <c r="G95" s="15"/>
      <c r="H95" s="15"/>
      <c r="I95" s="10"/>
      <c r="U95" s="10"/>
    </row>
    <row r="96" ht="15.75" customHeight="1">
      <c r="A96" s="4" t="s">
        <v>635</v>
      </c>
      <c r="B96" s="20" t="str">
        <f t="array" ref="B96">XLOOKUP(A96,'Employee Record'!$M$2:$M$201,'Employee Record'!$E$2:$E$201)</f>
        <v>HR Assistant</v>
      </c>
      <c r="C96" s="26">
        <f t="array" ref="C96">INDEX('Employee Record'!$F$2:$F$201,MATCH('Employee Record'!M96,'Employee Record'!$M$2:$M$201,0))</f>
        <v>59</v>
      </c>
      <c r="F96" s="14"/>
      <c r="G96" s="15"/>
      <c r="H96" s="15"/>
      <c r="I96" s="10"/>
      <c r="U96" s="10"/>
    </row>
    <row r="97" ht="15.75" customHeight="1">
      <c r="A97" s="4" t="s">
        <v>636</v>
      </c>
      <c r="B97" s="20" t="str">
        <f t="array" ref="B97">XLOOKUP(A97,'Employee Record'!$M$2:$M$201,'Employee Record'!$E$2:$E$201)</f>
        <v>System Admin</v>
      </c>
      <c r="C97" s="26">
        <f t="array" ref="C97">INDEX('Employee Record'!$F$2:$F$201,MATCH('Employee Record'!M97,'Employee Record'!$M$2:$M$201,0))</f>
        <v>89</v>
      </c>
      <c r="F97" s="14"/>
      <c r="G97" s="15"/>
      <c r="H97" s="15"/>
      <c r="I97" s="10"/>
      <c r="U97" s="10"/>
    </row>
    <row r="98" ht="15.75" customHeight="1">
      <c r="A98" s="4" t="s">
        <v>637</v>
      </c>
      <c r="B98" s="20" t="str">
        <f t="array" ref="B98">XLOOKUP(A98,'Employee Record'!$M$2:$M$201,'Employee Record'!$E$2:$E$201)</f>
        <v>Account Exec</v>
      </c>
      <c r="C98" s="26">
        <f t="array" ref="C98">INDEX('Employee Record'!$F$2:$F$201,MATCH('Employee Record'!M98,'Employee Record'!$M$2:$M$201,0))</f>
        <v>82</v>
      </c>
      <c r="F98" s="14"/>
      <c r="G98" s="15"/>
      <c r="H98" s="15"/>
      <c r="I98" s="10"/>
      <c r="U98" s="10"/>
    </row>
    <row r="99" ht="15.75" customHeight="1">
      <c r="A99" s="4" t="s">
        <v>638</v>
      </c>
      <c r="B99" s="20" t="str">
        <f t="array" ref="B99">XLOOKUP(A99,'Employee Record'!$M$2:$M$201,'Employee Record'!$E$2:$E$201)</f>
        <v>IT Support</v>
      </c>
      <c r="C99" s="26">
        <f t="array" ref="C99">INDEX('Employee Record'!$F$2:$F$201,MATCH('Employee Record'!M99,'Employee Record'!$M$2:$M$201,0))</f>
        <v>83</v>
      </c>
      <c r="F99" s="14"/>
      <c r="G99" s="15"/>
      <c r="H99" s="15"/>
      <c r="I99" s="10"/>
      <c r="U99" s="10"/>
    </row>
    <row r="100" ht="15.75" customHeight="1">
      <c r="A100" s="4" t="s">
        <v>639</v>
      </c>
      <c r="B100" s="20" t="str">
        <f t="array" ref="B100">XLOOKUP(A100,'Employee Record'!$M$2:$M$201,'Employee Record'!$E$2:$E$201)</f>
        <v>IT Support</v>
      </c>
      <c r="C100" s="26">
        <f t="array" ref="C100">INDEX('Employee Record'!$F$2:$F$201,MATCH('Employee Record'!M100,'Employee Record'!$M$2:$M$201,0))</f>
        <v>48</v>
      </c>
      <c r="F100" s="14"/>
      <c r="G100" s="15"/>
      <c r="H100" s="15"/>
      <c r="I100" s="10"/>
      <c r="U100" s="10"/>
    </row>
    <row r="101" ht="15.75" customHeight="1">
      <c r="A101" s="4" t="s">
        <v>640</v>
      </c>
      <c r="B101" s="20" t="str">
        <f t="array" ref="B101">XLOOKUP(A101,'Employee Record'!$M$2:$M$201,'Employee Record'!$E$2:$E$201)</f>
        <v>Brand Manager</v>
      </c>
      <c r="C101" s="26">
        <f t="array" ref="C101">INDEX('Employee Record'!$F$2:$F$201,MATCH('Employee Record'!M101,'Employee Record'!$M$2:$M$201,0))</f>
        <v>76</v>
      </c>
      <c r="F101" s="14"/>
      <c r="G101" s="15"/>
      <c r="H101" s="15"/>
      <c r="I101" s="10"/>
      <c r="U101" s="10"/>
    </row>
    <row r="102" ht="15.75" customHeight="1">
      <c r="A102" s="4" t="s">
        <v>641</v>
      </c>
      <c r="B102" s="20" t="str">
        <f t="array" ref="B102">XLOOKUP(A102,'Employee Record'!$M$2:$M$201,'Employee Record'!$E$2:$E$201)</f>
        <v>System Admin</v>
      </c>
      <c r="C102" s="26">
        <f t="array" ref="C102">INDEX('Employee Record'!$F$2:$F$201,MATCH('Employee Record'!M102,'Employee Record'!$M$2:$M$201,0))</f>
        <v>69</v>
      </c>
      <c r="F102" s="14"/>
      <c r="G102" s="15"/>
      <c r="H102" s="15"/>
      <c r="I102" s="10"/>
      <c r="U102" s="10"/>
    </row>
    <row r="103" ht="15.75" customHeight="1">
      <c r="A103" s="4" t="s">
        <v>642</v>
      </c>
      <c r="B103" s="20" t="str">
        <f t="array" ref="B103">XLOOKUP(A103,'Employee Record'!$M$2:$M$201,'Employee Record'!$E$2:$E$201)</f>
        <v>HR Assistant</v>
      </c>
      <c r="C103" s="26">
        <f t="array" ref="C103">INDEX('Employee Record'!$F$2:$F$201,MATCH('Employee Record'!M103,'Employee Record'!$M$2:$M$201,0))</f>
        <v>45</v>
      </c>
      <c r="F103" s="14"/>
      <c r="G103" s="15"/>
      <c r="H103" s="15"/>
      <c r="I103" s="10"/>
      <c r="U103" s="10"/>
    </row>
    <row r="104" ht="15.75" customHeight="1">
      <c r="A104" s="4" t="s">
        <v>643</v>
      </c>
      <c r="B104" s="20" t="str">
        <f t="array" ref="B104">XLOOKUP(A104,'Employee Record'!$M$2:$M$201,'Employee Record'!$E$2:$E$201)</f>
        <v>System Admin</v>
      </c>
      <c r="C104" s="26">
        <f t="array" ref="C104">INDEX('Employee Record'!$F$2:$F$201,MATCH('Employee Record'!M104,'Employee Record'!$M$2:$M$201,0))</f>
        <v>87</v>
      </c>
      <c r="F104" s="14"/>
      <c r="G104" s="15"/>
      <c r="H104" s="15"/>
      <c r="I104" s="10"/>
      <c r="U104" s="10"/>
    </row>
    <row r="105" ht="15.75" customHeight="1">
      <c r="A105" s="4" t="s">
        <v>644</v>
      </c>
      <c r="B105" s="20" t="str">
        <f t="array" ref="B105">XLOOKUP(A105,'Employee Record'!$M$2:$M$201,'Employee Record'!$E$2:$E$201)</f>
        <v>Accountant</v>
      </c>
      <c r="C105" s="26">
        <f t="array" ref="C105">INDEX('Employee Record'!$F$2:$F$201,MATCH('Employee Record'!M105,'Employee Record'!$M$2:$M$201,0))</f>
        <v>86</v>
      </c>
      <c r="F105" s="14"/>
      <c r="G105" s="15"/>
      <c r="H105" s="15"/>
      <c r="I105" s="10"/>
      <c r="U105" s="10"/>
    </row>
    <row r="106" ht="15.75" customHeight="1">
      <c r="A106" s="4" t="s">
        <v>645</v>
      </c>
      <c r="B106" s="20" t="str">
        <f t="array" ref="B106">XLOOKUP(A106,'Employee Record'!$M$2:$M$201,'Employee Record'!$E$2:$E$201)</f>
        <v>Brand Manager</v>
      </c>
      <c r="C106" s="26">
        <f t="array" ref="C106">INDEX('Employee Record'!$F$2:$F$201,MATCH('Employee Record'!M106,'Employee Record'!$M$2:$M$201,0))</f>
        <v>97</v>
      </c>
      <c r="F106" s="14"/>
      <c r="G106" s="15"/>
      <c r="H106" s="15"/>
      <c r="I106" s="10"/>
      <c r="U106" s="10"/>
    </row>
    <row r="107" ht="15.75" customHeight="1">
      <c r="A107" s="4" t="s">
        <v>646</v>
      </c>
      <c r="B107" s="20" t="str">
        <f t="array" ref="B107">XLOOKUP(A107,'Employee Record'!$M$2:$M$201,'Employee Record'!$E$2:$E$201)</f>
        <v>Sales Rep</v>
      </c>
      <c r="C107" s="26">
        <f t="array" ref="C107">INDEX('Employee Record'!$F$2:$F$201,MATCH('Employee Record'!M107,'Employee Record'!$M$2:$M$201,0))</f>
        <v>87</v>
      </c>
      <c r="F107" s="14"/>
      <c r="G107" s="15"/>
      <c r="H107" s="15"/>
      <c r="I107" s="10"/>
      <c r="U107" s="10"/>
    </row>
    <row r="108" ht="15.75" customHeight="1">
      <c r="A108" s="4" t="s">
        <v>647</v>
      </c>
      <c r="B108" s="20" t="str">
        <f t="array" ref="B108">XLOOKUP(A108,'Employee Record'!$M$2:$M$201,'Employee Record'!$E$2:$E$201)</f>
        <v>Brand Manager</v>
      </c>
      <c r="C108" s="26">
        <f t="array" ref="C108">INDEX('Employee Record'!$F$2:$F$201,MATCH('Employee Record'!M108,'Employee Record'!$M$2:$M$201,0))</f>
        <v>52</v>
      </c>
      <c r="F108" s="14"/>
      <c r="G108" s="15"/>
      <c r="H108" s="15"/>
      <c r="I108" s="10"/>
      <c r="U108" s="10"/>
    </row>
    <row r="109" ht="15.75" customHeight="1">
      <c r="A109" s="4" t="s">
        <v>648</v>
      </c>
      <c r="B109" s="20" t="str">
        <f t="array" ref="B109">XLOOKUP(A109,'Employee Record'!$M$2:$M$201,'Employee Record'!$E$2:$E$201)</f>
        <v>Account Exec</v>
      </c>
      <c r="C109" s="26">
        <f t="array" ref="C109">INDEX('Employee Record'!$F$2:$F$201,MATCH('Employee Record'!M109,'Employee Record'!$M$2:$M$201,0))</f>
        <v>56</v>
      </c>
      <c r="F109" s="14"/>
      <c r="G109" s="15"/>
      <c r="H109" s="15"/>
      <c r="I109" s="10"/>
      <c r="U109" s="10"/>
    </row>
    <row r="110" ht="15.75" customHeight="1">
      <c r="A110" s="4" t="s">
        <v>649</v>
      </c>
      <c r="B110" s="20" t="str">
        <f t="array" ref="B110">XLOOKUP(A110,'Employee Record'!$M$2:$M$201,'Employee Record'!$E$2:$E$201)</f>
        <v>HR Manager</v>
      </c>
      <c r="C110" s="26">
        <f t="array" ref="C110">INDEX('Employee Record'!$F$2:$F$201,MATCH('Employee Record'!M110,'Employee Record'!$M$2:$M$201,0))</f>
        <v>87</v>
      </c>
      <c r="F110" s="14"/>
      <c r="G110" s="15"/>
      <c r="H110" s="15"/>
      <c r="I110" s="10"/>
      <c r="U110" s="10"/>
    </row>
    <row r="111" ht="15.75" customHeight="1">
      <c r="A111" s="4" t="s">
        <v>650</v>
      </c>
      <c r="B111" s="20" t="str">
        <f t="array" ref="B111">XLOOKUP(A111,'Employee Record'!$M$2:$M$201,'Employee Record'!$E$2:$E$201)</f>
        <v>Accountant</v>
      </c>
      <c r="C111" s="26">
        <f t="array" ref="C111">INDEX('Employee Record'!$F$2:$F$201,MATCH('Employee Record'!M111,'Employee Record'!$M$2:$M$201,0))</f>
        <v>53</v>
      </c>
      <c r="F111" s="14"/>
      <c r="G111" s="15"/>
      <c r="H111" s="15"/>
      <c r="I111" s="10"/>
      <c r="U111" s="10"/>
    </row>
    <row r="112" ht="15.75" customHeight="1">
      <c r="A112" s="4" t="s">
        <v>651</v>
      </c>
      <c r="B112" s="20" t="str">
        <f t="array" ref="B112">XLOOKUP(A112,'Employee Record'!$M$2:$M$201,'Employee Record'!$E$2:$E$201)</f>
        <v>HR Manager</v>
      </c>
      <c r="C112" s="26">
        <f t="array" ref="C112">INDEX('Employee Record'!$F$2:$F$201,MATCH('Employee Record'!M112,'Employee Record'!$M$2:$M$201,0))</f>
        <v>72</v>
      </c>
      <c r="F112" s="14"/>
      <c r="G112" s="15"/>
      <c r="H112" s="15"/>
      <c r="I112" s="10"/>
      <c r="U112" s="10"/>
    </row>
    <row r="113" ht="15.75" customHeight="1">
      <c r="A113" s="4" t="s">
        <v>652</v>
      </c>
      <c r="B113" s="20" t="str">
        <f t="array" ref="B113">XLOOKUP(A113,'Employee Record'!$M$2:$M$201,'Employee Record'!$E$2:$E$201)</f>
        <v>Developer</v>
      </c>
      <c r="C113" s="26">
        <f t="array" ref="C113">INDEX('Employee Record'!$F$2:$F$201,MATCH('Employee Record'!M113,'Employee Record'!$M$2:$M$201,0))</f>
        <v>41</v>
      </c>
      <c r="F113" s="14"/>
      <c r="G113" s="15"/>
      <c r="H113" s="15"/>
      <c r="I113" s="10"/>
      <c r="U113" s="10"/>
    </row>
    <row r="114" ht="15.75" customHeight="1">
      <c r="A114" s="4" t="s">
        <v>653</v>
      </c>
      <c r="B114" s="20" t="str">
        <f t="array" ref="B114">XLOOKUP(A114,'Employee Record'!$M$2:$M$201,'Employee Record'!$E$2:$E$201)</f>
        <v>Brand Manager</v>
      </c>
      <c r="C114" s="26">
        <f t="array" ref="C114">INDEX('Employee Record'!$F$2:$F$201,MATCH('Employee Record'!M114,'Employee Record'!$M$2:$M$201,0))</f>
        <v>97</v>
      </c>
      <c r="F114" s="14"/>
      <c r="G114" s="15"/>
      <c r="H114" s="15"/>
      <c r="I114" s="10"/>
      <c r="U114" s="10"/>
    </row>
    <row r="115" ht="15.75" customHeight="1">
      <c r="A115" s="4" t="s">
        <v>654</v>
      </c>
      <c r="B115" s="20" t="str">
        <f t="array" ref="B115">XLOOKUP(A115,'Employee Record'!$M$2:$M$201,'Employee Record'!$E$2:$E$201)</f>
        <v>Accountant</v>
      </c>
      <c r="C115" s="26">
        <f t="array" ref="C115">INDEX('Employee Record'!$F$2:$F$201,MATCH('Employee Record'!M115,'Employee Record'!$M$2:$M$201,0))</f>
        <v>70</v>
      </c>
      <c r="F115" s="14"/>
      <c r="G115" s="15"/>
      <c r="H115" s="15"/>
      <c r="I115" s="10"/>
      <c r="U115" s="10"/>
    </row>
    <row r="116" ht="15.75" customHeight="1">
      <c r="A116" s="4" t="s">
        <v>655</v>
      </c>
      <c r="B116" s="20" t="str">
        <f t="array" ref="B116">XLOOKUP(A116,'Employee Record'!$M$2:$M$201,'Employee Record'!$E$2:$E$201)</f>
        <v>System Admin</v>
      </c>
      <c r="C116" s="26">
        <f t="array" ref="C116">INDEX('Employee Record'!$F$2:$F$201,MATCH('Employee Record'!M116,'Employee Record'!$M$2:$M$201,0))</f>
        <v>88</v>
      </c>
      <c r="F116" s="14"/>
      <c r="G116" s="15"/>
      <c r="H116" s="15"/>
      <c r="I116" s="10"/>
      <c r="U116" s="10"/>
    </row>
    <row r="117" ht="15.75" customHeight="1">
      <c r="A117" s="4" t="s">
        <v>656</v>
      </c>
      <c r="B117" s="20" t="str">
        <f t="array" ref="B117">XLOOKUP(A117,'Employee Record'!$M$2:$M$201,'Employee Record'!$E$2:$E$201)</f>
        <v>Developer</v>
      </c>
      <c r="C117" s="26">
        <f t="array" ref="C117">INDEX('Employee Record'!$F$2:$F$201,MATCH('Employee Record'!M117,'Employee Record'!$M$2:$M$201,0))</f>
        <v>89</v>
      </c>
      <c r="F117" s="14"/>
      <c r="G117" s="15"/>
      <c r="H117" s="15"/>
      <c r="I117" s="10"/>
      <c r="U117" s="10"/>
    </row>
    <row r="118" ht="15.75" customHeight="1">
      <c r="A118" s="4" t="s">
        <v>657</v>
      </c>
      <c r="B118" s="20" t="str">
        <f t="array" ref="B118">XLOOKUP(A118,'Employee Record'!$M$2:$M$201,'Employee Record'!$E$2:$E$201)</f>
        <v>Financial Analyst</v>
      </c>
      <c r="C118" s="26">
        <f t="array" ref="C118">INDEX('Employee Record'!$F$2:$F$201,MATCH('Employee Record'!M118,'Employee Record'!$M$2:$M$201,0))</f>
        <v>73</v>
      </c>
      <c r="F118" s="14"/>
      <c r="G118" s="15"/>
      <c r="H118" s="15"/>
      <c r="I118" s="10"/>
      <c r="U118" s="10"/>
    </row>
    <row r="119" ht="15.75" customHeight="1">
      <c r="A119" s="4" t="s">
        <v>658</v>
      </c>
      <c r="B119" s="20" t="str">
        <f t="array" ref="B119">XLOOKUP(A119,'Employee Record'!$M$2:$M$201,'Employee Record'!$E$2:$E$201)</f>
        <v>Sales Manager</v>
      </c>
      <c r="C119" s="26">
        <f t="array" ref="C119">INDEX('Employee Record'!$F$2:$F$201,MATCH('Employee Record'!M119,'Employee Record'!$M$2:$M$201,0))</f>
        <v>72</v>
      </c>
      <c r="F119" s="14"/>
      <c r="G119" s="15"/>
      <c r="H119" s="15"/>
      <c r="I119" s="10"/>
      <c r="U119" s="10"/>
    </row>
    <row r="120" ht="15.75" customHeight="1">
      <c r="A120" s="4" t="s">
        <v>659</v>
      </c>
      <c r="B120" s="20" t="str">
        <f t="array" ref="B120">XLOOKUP(A120,'Employee Record'!$M$2:$M$201,'Employee Record'!$E$2:$E$201)</f>
        <v>Marketing Officer</v>
      </c>
      <c r="C120" s="26">
        <f t="array" ref="C120">INDEX('Employee Record'!$F$2:$F$201,MATCH('Employee Record'!M120,'Employee Record'!$M$2:$M$201,0))</f>
        <v>70</v>
      </c>
      <c r="F120" s="14"/>
      <c r="G120" s="15"/>
      <c r="H120" s="15"/>
      <c r="I120" s="10"/>
      <c r="U120" s="10"/>
    </row>
    <row r="121" ht="15.75" customHeight="1">
      <c r="A121" s="4" t="s">
        <v>660</v>
      </c>
      <c r="B121" s="20" t="str">
        <f t="array" ref="B121">XLOOKUP(A121,'Employee Record'!$M$2:$M$201,'Employee Record'!$E$2:$E$201)</f>
        <v>HR Assistant</v>
      </c>
      <c r="C121" s="26">
        <f t="array" ref="C121">INDEX('Employee Record'!$F$2:$F$201,MATCH('Employee Record'!M121,'Employee Record'!$M$2:$M$201,0))</f>
        <v>33</v>
      </c>
      <c r="F121" s="14"/>
      <c r="G121" s="15"/>
      <c r="H121" s="15"/>
      <c r="I121" s="10"/>
      <c r="U121" s="10"/>
    </row>
    <row r="122" ht="15.75" customHeight="1">
      <c r="A122" s="4" t="s">
        <v>661</v>
      </c>
      <c r="B122" s="20" t="str">
        <f t="array" ref="B122">XLOOKUP(A122,'Employee Record'!$M$2:$M$201,'Employee Record'!$E$2:$E$201)</f>
        <v>IT Support</v>
      </c>
      <c r="C122" s="26">
        <f t="array" ref="C122">INDEX('Employee Record'!$F$2:$F$201,MATCH('Employee Record'!M122,'Employee Record'!$M$2:$M$201,0))</f>
        <v>74</v>
      </c>
      <c r="F122" s="14"/>
      <c r="G122" s="15"/>
      <c r="H122" s="15"/>
      <c r="I122" s="10"/>
      <c r="U122" s="10"/>
    </row>
    <row r="123" ht="15.75" customHeight="1">
      <c r="A123" s="4" t="s">
        <v>662</v>
      </c>
      <c r="B123" s="20" t="str">
        <f t="array" ref="B123">XLOOKUP(A123,'Employee Record'!$M$2:$M$201,'Employee Record'!$E$2:$E$201)</f>
        <v>Account Exec</v>
      </c>
      <c r="C123" s="26">
        <f t="array" ref="C123">INDEX('Employee Record'!$F$2:$F$201,MATCH('Employee Record'!M123,'Employee Record'!$M$2:$M$201,0))</f>
        <v>69</v>
      </c>
      <c r="F123" s="14"/>
      <c r="G123" s="15"/>
      <c r="H123" s="15"/>
      <c r="I123" s="10"/>
      <c r="U123" s="10"/>
    </row>
    <row r="124" ht="15.75" customHeight="1">
      <c r="A124" s="4" t="s">
        <v>663</v>
      </c>
      <c r="B124" s="20" t="str">
        <f t="array" ref="B124">XLOOKUP(A124,'Employee Record'!$M$2:$M$201,'Employee Record'!$E$2:$E$201)</f>
        <v>System Admin</v>
      </c>
      <c r="C124" s="26">
        <f t="array" ref="C124">INDEX('Employee Record'!$F$2:$F$201,MATCH('Employee Record'!M124,'Employee Record'!$M$2:$M$201,0))</f>
        <v>70</v>
      </c>
      <c r="F124" s="14"/>
      <c r="G124" s="15"/>
      <c r="H124" s="15"/>
      <c r="I124" s="10"/>
      <c r="U124" s="10"/>
    </row>
    <row r="125" ht="15.75" customHeight="1">
      <c r="A125" s="4" t="s">
        <v>664</v>
      </c>
      <c r="B125" s="20" t="str">
        <f t="array" ref="B125">XLOOKUP(A125,'Employee Record'!$M$2:$M$201,'Employee Record'!$E$2:$E$201)</f>
        <v>Sales Rep</v>
      </c>
      <c r="C125" s="26">
        <f t="array" ref="C125">INDEX('Employee Record'!$F$2:$F$201,MATCH('Employee Record'!M125,'Employee Record'!$M$2:$M$201,0))</f>
        <v>94</v>
      </c>
      <c r="F125" s="14"/>
      <c r="G125" s="15"/>
      <c r="H125" s="15"/>
      <c r="I125" s="10"/>
      <c r="U125" s="10"/>
    </row>
    <row r="126" ht="15.75" customHeight="1">
      <c r="A126" s="4" t="s">
        <v>665</v>
      </c>
      <c r="B126" s="20" t="str">
        <f t="array" ref="B126">XLOOKUP(A126,'Employee Record'!$M$2:$M$201,'Employee Record'!$E$2:$E$201)</f>
        <v>HR Manager</v>
      </c>
      <c r="C126" s="26">
        <f t="array" ref="C126">INDEX('Employee Record'!$F$2:$F$201,MATCH('Employee Record'!M126,'Employee Record'!$M$2:$M$201,0))</f>
        <v>45</v>
      </c>
      <c r="F126" s="14"/>
      <c r="G126" s="15"/>
      <c r="H126" s="15"/>
      <c r="I126" s="10"/>
      <c r="U126" s="10"/>
    </row>
    <row r="127" ht="15.75" customHeight="1">
      <c r="A127" s="4" t="s">
        <v>666</v>
      </c>
      <c r="B127" s="20" t="str">
        <f t="array" ref="B127">XLOOKUP(A127,'Employee Record'!$M$2:$M$201,'Employee Record'!$E$2:$E$201)</f>
        <v>Developer</v>
      </c>
      <c r="C127" s="26">
        <f t="array" ref="C127">INDEX('Employee Record'!$F$2:$F$201,MATCH('Employee Record'!M127,'Employee Record'!$M$2:$M$201,0))</f>
        <v>46</v>
      </c>
      <c r="F127" s="14"/>
      <c r="G127" s="15"/>
      <c r="H127" s="15"/>
      <c r="I127" s="10"/>
      <c r="U127" s="10"/>
    </row>
    <row r="128" ht="15.75" customHeight="1">
      <c r="A128" s="4" t="s">
        <v>667</v>
      </c>
      <c r="B128" s="20" t="str">
        <f t="array" ref="B128">XLOOKUP(A128,'Employee Record'!$M$2:$M$201,'Employee Record'!$E$2:$E$201)</f>
        <v>HR Assistant</v>
      </c>
      <c r="C128" s="26">
        <f t="array" ref="C128">INDEX('Employee Record'!$F$2:$F$201,MATCH('Employee Record'!M128,'Employee Record'!$M$2:$M$201,0))</f>
        <v>79</v>
      </c>
      <c r="F128" s="14"/>
      <c r="G128" s="15"/>
      <c r="H128" s="15"/>
      <c r="I128" s="10"/>
      <c r="U128" s="10"/>
    </row>
    <row r="129" ht="15.75" customHeight="1">
      <c r="A129" s="4" t="s">
        <v>668</v>
      </c>
      <c r="B129" s="20" t="str">
        <f t="array" ref="B129">XLOOKUP(A129,'Employee Record'!$M$2:$M$201,'Employee Record'!$E$2:$E$201)</f>
        <v>HR Manager</v>
      </c>
      <c r="C129" s="26">
        <f t="array" ref="C129">INDEX('Employee Record'!$F$2:$F$201,MATCH('Employee Record'!M129,'Employee Record'!$M$2:$M$201,0))</f>
        <v>44</v>
      </c>
      <c r="F129" s="14"/>
      <c r="G129" s="15"/>
      <c r="H129" s="15"/>
      <c r="I129" s="10"/>
      <c r="U129" s="10"/>
    </row>
    <row r="130" ht="15.75" customHeight="1">
      <c r="A130" s="4" t="s">
        <v>669</v>
      </c>
      <c r="B130" s="20" t="str">
        <f t="array" ref="B130">XLOOKUP(A130,'Employee Record'!$M$2:$M$201,'Employee Record'!$E$2:$E$201)</f>
        <v>Sales Rep</v>
      </c>
      <c r="C130" s="26">
        <f t="array" ref="C130">INDEX('Employee Record'!$F$2:$F$201,MATCH('Employee Record'!M130,'Employee Record'!$M$2:$M$201,0))</f>
        <v>53</v>
      </c>
      <c r="F130" s="14"/>
      <c r="G130" s="15"/>
      <c r="H130" s="15"/>
      <c r="I130" s="10"/>
      <c r="U130" s="10"/>
    </row>
    <row r="131" ht="15.75" customHeight="1">
      <c r="A131" s="4" t="s">
        <v>670</v>
      </c>
      <c r="B131" s="20" t="str">
        <f t="array" ref="B131">XLOOKUP(A131,'Employee Record'!$M$2:$M$201,'Employee Record'!$E$2:$E$201)</f>
        <v>Sales Rep</v>
      </c>
      <c r="C131" s="26">
        <f t="array" ref="C131">INDEX('Employee Record'!$F$2:$F$201,MATCH('Employee Record'!M131,'Employee Record'!$M$2:$M$201,0))</f>
        <v>58</v>
      </c>
      <c r="F131" s="14"/>
      <c r="G131" s="15"/>
      <c r="H131" s="15"/>
      <c r="I131" s="10"/>
      <c r="U131" s="10"/>
    </row>
    <row r="132" ht="15.75" customHeight="1">
      <c r="A132" s="4" t="s">
        <v>671</v>
      </c>
      <c r="B132" s="20" t="str">
        <f t="array" ref="B132">XLOOKUP(A132,'Employee Record'!$M$2:$M$201,'Employee Record'!$E$2:$E$201)</f>
        <v>HR Assistant</v>
      </c>
      <c r="C132" s="26">
        <f t="array" ref="C132">INDEX('Employee Record'!$F$2:$F$201,MATCH('Employee Record'!M132,'Employee Record'!$M$2:$M$201,0))</f>
        <v>86</v>
      </c>
      <c r="F132" s="14"/>
      <c r="G132" s="15"/>
      <c r="H132" s="15"/>
      <c r="I132" s="10"/>
      <c r="U132" s="10"/>
    </row>
    <row r="133" ht="15.75" customHeight="1">
      <c r="A133" s="4" t="s">
        <v>672</v>
      </c>
      <c r="B133" s="20" t="str">
        <f t="array" ref="B133">XLOOKUP(A133,'Employee Record'!$M$2:$M$201,'Employee Record'!$E$2:$E$201)</f>
        <v>HR Manager</v>
      </c>
      <c r="C133" s="26">
        <f t="array" ref="C133">INDEX('Employee Record'!$F$2:$F$201,MATCH('Employee Record'!M133,'Employee Record'!$M$2:$M$201,0))</f>
        <v>86</v>
      </c>
      <c r="F133" s="14"/>
      <c r="G133" s="15"/>
      <c r="H133" s="15"/>
      <c r="I133" s="10"/>
      <c r="U133" s="10"/>
    </row>
    <row r="134" ht="15.75" customHeight="1">
      <c r="A134" s="4" t="s">
        <v>673</v>
      </c>
      <c r="B134" s="20" t="str">
        <f t="array" ref="B134">XLOOKUP(A134,'Employee Record'!$M$2:$M$201,'Employee Record'!$E$2:$E$201)</f>
        <v>HR Assistant</v>
      </c>
      <c r="C134" s="26">
        <f t="array" ref="C134">INDEX('Employee Record'!$F$2:$F$201,MATCH('Employee Record'!M134,'Employee Record'!$M$2:$M$201,0))</f>
        <v>80</v>
      </c>
      <c r="F134" s="14"/>
      <c r="G134" s="15"/>
      <c r="H134" s="15"/>
      <c r="I134" s="10"/>
      <c r="U134" s="10"/>
    </row>
    <row r="135" ht="15.75" customHeight="1">
      <c r="A135" s="4" t="s">
        <v>674</v>
      </c>
      <c r="B135" s="20" t="str">
        <f t="array" ref="B135">XLOOKUP(A135,'Employee Record'!$M$2:$M$201,'Employee Record'!$E$2:$E$201)</f>
        <v>Accountant</v>
      </c>
      <c r="C135" s="26">
        <f t="array" ref="C135">INDEX('Employee Record'!$F$2:$F$201,MATCH('Employee Record'!M135,'Employee Record'!$M$2:$M$201,0))</f>
        <v>57</v>
      </c>
      <c r="F135" s="14"/>
      <c r="G135" s="15"/>
      <c r="H135" s="15"/>
      <c r="I135" s="10"/>
      <c r="U135" s="10"/>
    </row>
    <row r="136" ht="15.75" customHeight="1">
      <c r="A136" s="4" t="s">
        <v>675</v>
      </c>
      <c r="B136" s="20" t="str">
        <f t="array" ref="B136">XLOOKUP(A136,'Employee Record'!$M$2:$M$201,'Employee Record'!$E$2:$E$201)</f>
        <v>Account Exec</v>
      </c>
      <c r="C136" s="26">
        <f t="array" ref="C136">INDEX('Employee Record'!$F$2:$F$201,MATCH('Employee Record'!M136,'Employee Record'!$M$2:$M$201,0))</f>
        <v>69</v>
      </c>
      <c r="F136" s="14"/>
      <c r="G136" s="15"/>
      <c r="H136" s="15"/>
      <c r="I136" s="10"/>
      <c r="U136" s="10"/>
    </row>
    <row r="137" ht="15.75" customHeight="1">
      <c r="A137" s="4" t="s">
        <v>676</v>
      </c>
      <c r="B137" s="20" t="str">
        <f t="array" ref="B137">XLOOKUP(A137,'Employee Record'!$M$2:$M$201,'Employee Record'!$E$2:$E$201)</f>
        <v>Accountant</v>
      </c>
      <c r="C137" s="26">
        <f t="array" ref="C137">INDEX('Employee Record'!$F$2:$F$201,MATCH('Employee Record'!M137,'Employee Record'!$M$2:$M$201,0))</f>
        <v>73</v>
      </c>
      <c r="F137" s="14"/>
      <c r="G137" s="15"/>
      <c r="H137" s="15"/>
      <c r="I137" s="10"/>
      <c r="U137" s="10"/>
    </row>
    <row r="138" ht="15.75" customHeight="1">
      <c r="A138" s="4" t="s">
        <v>677</v>
      </c>
      <c r="B138" s="20" t="str">
        <f t="array" ref="B138">XLOOKUP(A138,'Employee Record'!$M$2:$M$201,'Employee Record'!$E$2:$E$201)</f>
        <v>Brand Manager</v>
      </c>
      <c r="C138" s="26">
        <f t="array" ref="C138">INDEX('Employee Record'!$F$2:$F$201,MATCH('Employee Record'!M138,'Employee Record'!$M$2:$M$201,0))</f>
        <v>32</v>
      </c>
      <c r="F138" s="14"/>
      <c r="G138" s="15"/>
      <c r="H138" s="15"/>
      <c r="I138" s="10"/>
      <c r="U138" s="10"/>
    </row>
    <row r="139" ht="15.75" customHeight="1">
      <c r="A139" s="4" t="s">
        <v>678</v>
      </c>
      <c r="B139" s="20" t="str">
        <f t="array" ref="B139">XLOOKUP(A139,'Employee Record'!$M$2:$M$201,'Employee Record'!$E$2:$E$201)</f>
        <v>Financial Analyst</v>
      </c>
      <c r="C139" s="26">
        <f t="array" ref="C139">INDEX('Employee Record'!$F$2:$F$201,MATCH('Employee Record'!M139,'Employee Record'!$M$2:$M$201,0))</f>
        <v>59</v>
      </c>
      <c r="F139" s="14"/>
      <c r="G139" s="15"/>
      <c r="H139" s="15"/>
      <c r="I139" s="10"/>
      <c r="U139" s="10"/>
    </row>
    <row r="140" ht="15.75" customHeight="1">
      <c r="A140" s="4" t="s">
        <v>679</v>
      </c>
      <c r="B140" s="20" t="str">
        <f t="array" ref="B140">XLOOKUP(A140,'Employee Record'!$M$2:$M$201,'Employee Record'!$E$2:$E$201)</f>
        <v>Marketing Officer</v>
      </c>
      <c r="C140" s="26">
        <f t="array" ref="C140">INDEX('Employee Record'!$F$2:$F$201,MATCH('Employee Record'!M140,'Employee Record'!$M$2:$M$201,0))</f>
        <v>88</v>
      </c>
      <c r="F140" s="14"/>
      <c r="G140" s="15"/>
      <c r="H140" s="15"/>
      <c r="I140" s="10"/>
      <c r="U140" s="10"/>
    </row>
    <row r="141" ht="15.75" customHeight="1">
      <c r="A141" s="4" t="s">
        <v>680</v>
      </c>
      <c r="B141" s="20" t="str">
        <f t="array" ref="B141">XLOOKUP(A141,'Employee Record'!$M$2:$M$201,'Employee Record'!$E$2:$E$201)</f>
        <v>Accountant</v>
      </c>
      <c r="C141" s="26">
        <f t="array" ref="C141">INDEX('Employee Record'!$F$2:$F$201,MATCH('Employee Record'!M141,'Employee Record'!$M$2:$M$201,0))</f>
        <v>39</v>
      </c>
      <c r="F141" s="14"/>
      <c r="G141" s="15"/>
      <c r="H141" s="15"/>
      <c r="I141" s="10"/>
      <c r="U141" s="10"/>
    </row>
    <row r="142" ht="15.75" customHeight="1">
      <c r="A142" s="4" t="s">
        <v>681</v>
      </c>
      <c r="B142" s="20" t="str">
        <f t="array" ref="B142">XLOOKUP(A142,'Employee Record'!$M$2:$M$201,'Employee Record'!$E$2:$E$201)</f>
        <v>System Admin</v>
      </c>
      <c r="C142" s="26">
        <f t="array" ref="C142">INDEX('Employee Record'!$F$2:$F$201,MATCH('Employee Record'!M142,'Employee Record'!$M$2:$M$201,0))</f>
        <v>34</v>
      </c>
      <c r="F142" s="14"/>
      <c r="G142" s="15"/>
      <c r="H142" s="15"/>
      <c r="I142" s="10"/>
      <c r="U142" s="10"/>
    </row>
    <row r="143" ht="15.75" customHeight="1">
      <c r="A143" s="4" t="s">
        <v>682</v>
      </c>
      <c r="B143" s="20" t="str">
        <f t="array" ref="B143">XLOOKUP(A143,'Employee Record'!$M$2:$M$201,'Employee Record'!$E$2:$E$201)</f>
        <v>HR Assistant</v>
      </c>
      <c r="C143" s="26">
        <f t="array" ref="C143">INDEX('Employee Record'!$F$2:$F$201,MATCH('Employee Record'!M143,'Employee Record'!$M$2:$M$201,0))</f>
        <v>69</v>
      </c>
      <c r="F143" s="14"/>
      <c r="G143" s="15"/>
      <c r="H143" s="15"/>
      <c r="I143" s="10"/>
      <c r="U143" s="10"/>
    </row>
    <row r="144" ht="15.75" customHeight="1">
      <c r="A144" s="4" t="s">
        <v>683</v>
      </c>
      <c r="B144" s="20" t="str">
        <f t="array" ref="B144">XLOOKUP(A144,'Employee Record'!$M$2:$M$201,'Employee Record'!$E$2:$E$201)</f>
        <v>Sales Manager</v>
      </c>
      <c r="C144" s="26">
        <f t="array" ref="C144">INDEX('Employee Record'!$F$2:$F$201,MATCH('Employee Record'!M144,'Employee Record'!$M$2:$M$201,0))</f>
        <v>52</v>
      </c>
      <c r="F144" s="14"/>
      <c r="G144" s="15"/>
      <c r="H144" s="15"/>
      <c r="I144" s="10"/>
      <c r="U144" s="10"/>
    </row>
    <row r="145" ht="15.75" customHeight="1">
      <c r="A145" s="4" t="s">
        <v>684</v>
      </c>
      <c r="B145" s="20" t="str">
        <f t="array" ref="B145">XLOOKUP(A145,'Employee Record'!$M$2:$M$201,'Employee Record'!$E$2:$E$201)</f>
        <v>HR Assistant</v>
      </c>
      <c r="C145" s="26">
        <f t="array" ref="C145">INDEX('Employee Record'!$F$2:$F$201,MATCH('Employee Record'!M145,'Employee Record'!$M$2:$M$201,0))</f>
        <v>48</v>
      </c>
      <c r="F145" s="14"/>
      <c r="G145" s="15"/>
      <c r="H145" s="15"/>
      <c r="I145" s="10"/>
      <c r="U145" s="10"/>
    </row>
    <row r="146" ht="15.75" customHeight="1">
      <c r="A146" s="4" t="s">
        <v>685</v>
      </c>
      <c r="B146" s="20" t="str">
        <f t="array" ref="B146">XLOOKUP(A146,'Employee Record'!$M$2:$M$201,'Employee Record'!$E$2:$E$201)</f>
        <v>IT Support</v>
      </c>
      <c r="C146" s="26">
        <f t="array" ref="C146">INDEX('Employee Record'!$F$2:$F$201,MATCH('Employee Record'!M146,'Employee Record'!$M$2:$M$201,0))</f>
        <v>41</v>
      </c>
      <c r="F146" s="14"/>
      <c r="G146" s="15"/>
      <c r="H146" s="15"/>
      <c r="I146" s="10"/>
      <c r="U146" s="10"/>
    </row>
    <row r="147" ht="15.75" customHeight="1">
      <c r="A147" s="4" t="s">
        <v>686</v>
      </c>
      <c r="B147" s="20" t="str">
        <f t="array" ref="B147">XLOOKUP(A147,'Employee Record'!$M$2:$M$201,'Employee Record'!$E$2:$E$201)</f>
        <v>Account Exec</v>
      </c>
      <c r="C147" s="26">
        <f t="array" ref="C147">INDEX('Employee Record'!$F$2:$F$201,MATCH('Employee Record'!M147,'Employee Record'!$M$2:$M$201,0))</f>
        <v>31</v>
      </c>
      <c r="F147" s="14"/>
      <c r="G147" s="15"/>
      <c r="H147" s="15"/>
      <c r="I147" s="10"/>
      <c r="U147" s="10"/>
    </row>
    <row r="148" ht="15.75" customHeight="1">
      <c r="A148" s="4" t="s">
        <v>687</v>
      </c>
      <c r="B148" s="20" t="str">
        <f t="array" ref="B148">XLOOKUP(A148,'Employee Record'!$M$2:$M$201,'Employee Record'!$E$2:$E$201)</f>
        <v>Financial Analyst</v>
      </c>
      <c r="C148" s="26">
        <f t="array" ref="C148">INDEX('Employee Record'!$F$2:$F$201,MATCH('Employee Record'!M148,'Employee Record'!$M$2:$M$201,0))</f>
        <v>76</v>
      </c>
      <c r="F148" s="14"/>
      <c r="G148" s="15"/>
      <c r="H148" s="15"/>
      <c r="I148" s="10"/>
      <c r="U148" s="10"/>
    </row>
    <row r="149" ht="15.75" customHeight="1">
      <c r="A149" s="4" t="s">
        <v>688</v>
      </c>
      <c r="B149" s="20" t="str">
        <f t="array" ref="B149">XLOOKUP(A149,'Employee Record'!$M$2:$M$201,'Employee Record'!$E$2:$E$201)</f>
        <v>Marketing Officer</v>
      </c>
      <c r="C149" s="26">
        <f t="array" ref="C149">INDEX('Employee Record'!$F$2:$F$201,MATCH('Employee Record'!M149,'Employee Record'!$M$2:$M$201,0))</f>
        <v>85</v>
      </c>
      <c r="F149" s="14"/>
      <c r="G149" s="15"/>
      <c r="H149" s="15"/>
      <c r="I149" s="10"/>
      <c r="U149" s="10"/>
    </row>
    <row r="150" ht="15.75" customHeight="1">
      <c r="A150" s="4" t="s">
        <v>689</v>
      </c>
      <c r="B150" s="20" t="str">
        <f t="array" ref="B150">XLOOKUP(A150,'Employee Record'!$M$2:$M$201,'Employee Record'!$E$2:$E$201)</f>
        <v>Financial Analyst</v>
      </c>
      <c r="C150" s="26">
        <f t="array" ref="C150">INDEX('Employee Record'!$F$2:$F$201,MATCH('Employee Record'!M150,'Employee Record'!$M$2:$M$201,0))</f>
        <v>47</v>
      </c>
      <c r="F150" s="14"/>
      <c r="G150" s="15"/>
      <c r="H150" s="15"/>
      <c r="I150" s="10"/>
      <c r="U150" s="10"/>
    </row>
    <row r="151" ht="15.75" customHeight="1">
      <c r="A151" s="4" t="s">
        <v>690</v>
      </c>
      <c r="B151" s="20" t="str">
        <f t="array" ref="B151">XLOOKUP(A151,'Employee Record'!$M$2:$M$201,'Employee Record'!$E$2:$E$201)</f>
        <v>System Admin</v>
      </c>
      <c r="C151" s="26">
        <f t="array" ref="C151">INDEX('Employee Record'!$F$2:$F$201,MATCH('Employee Record'!M151,'Employee Record'!$M$2:$M$201,0))</f>
        <v>56</v>
      </c>
      <c r="F151" s="14"/>
      <c r="G151" s="15"/>
      <c r="H151" s="15"/>
      <c r="I151" s="10"/>
      <c r="U151" s="10"/>
    </row>
    <row r="152" ht="15.75" customHeight="1">
      <c r="A152" s="4" t="s">
        <v>691</v>
      </c>
      <c r="B152" s="20" t="str">
        <f t="array" ref="B152">XLOOKUP(A152,'Employee Record'!$M$2:$M$201,'Employee Record'!$E$2:$E$201)</f>
        <v>Developer</v>
      </c>
      <c r="C152" s="26">
        <f t="array" ref="C152">INDEX('Employee Record'!$F$2:$F$201,MATCH('Employee Record'!M152,'Employee Record'!$M$2:$M$201,0))</f>
        <v>74</v>
      </c>
      <c r="F152" s="14"/>
      <c r="G152" s="15"/>
      <c r="H152" s="15"/>
      <c r="I152" s="10"/>
      <c r="U152" s="10"/>
    </row>
    <row r="153" ht="15.75" customHeight="1">
      <c r="A153" s="4" t="s">
        <v>692</v>
      </c>
      <c r="B153" s="20" t="str">
        <f t="array" ref="B153">XLOOKUP(A153,'Employee Record'!$M$2:$M$201,'Employee Record'!$E$2:$E$201)</f>
        <v>Accountant</v>
      </c>
      <c r="C153" s="26">
        <f t="array" ref="C153">INDEX('Employee Record'!$F$2:$F$201,MATCH('Employee Record'!M153,'Employee Record'!$M$2:$M$201,0))</f>
        <v>70</v>
      </c>
      <c r="F153" s="14"/>
      <c r="G153" s="15"/>
      <c r="H153" s="15"/>
      <c r="I153" s="10"/>
      <c r="U153" s="10"/>
    </row>
    <row r="154" ht="15.75" customHeight="1">
      <c r="A154" s="4" t="s">
        <v>693</v>
      </c>
      <c r="B154" s="20" t="str">
        <f t="array" ref="B154">XLOOKUP(A154,'Employee Record'!$M$2:$M$201,'Employee Record'!$E$2:$E$201)</f>
        <v>Financial Analyst</v>
      </c>
      <c r="C154" s="26">
        <f t="array" ref="C154">INDEX('Employee Record'!$F$2:$F$201,MATCH('Employee Record'!M154,'Employee Record'!$M$2:$M$201,0))</f>
        <v>64</v>
      </c>
      <c r="F154" s="14"/>
      <c r="G154" s="15"/>
      <c r="H154" s="15"/>
      <c r="I154" s="10"/>
      <c r="U154" s="10"/>
    </row>
    <row r="155" ht="15.75" customHeight="1">
      <c r="A155" s="4" t="s">
        <v>694</v>
      </c>
      <c r="B155" s="20" t="str">
        <f t="array" ref="B155">XLOOKUP(A155,'Employee Record'!$M$2:$M$201,'Employee Record'!$E$2:$E$201)</f>
        <v>IT Support</v>
      </c>
      <c r="C155" s="26">
        <f t="array" ref="C155">INDEX('Employee Record'!$F$2:$F$201,MATCH('Employee Record'!M155,'Employee Record'!$M$2:$M$201,0))</f>
        <v>56</v>
      </c>
      <c r="F155" s="14"/>
      <c r="G155" s="15"/>
      <c r="H155" s="15"/>
      <c r="I155" s="10"/>
      <c r="U155" s="10"/>
    </row>
    <row r="156" ht="15.75" customHeight="1">
      <c r="A156" s="4" t="s">
        <v>695</v>
      </c>
      <c r="B156" s="20" t="str">
        <f t="array" ref="B156">XLOOKUP(A156,'Employee Record'!$M$2:$M$201,'Employee Record'!$E$2:$E$201)</f>
        <v>Brand Manager</v>
      </c>
      <c r="C156" s="26">
        <f t="array" ref="C156">INDEX('Employee Record'!$F$2:$F$201,MATCH('Employee Record'!M156,'Employee Record'!$M$2:$M$201,0))</f>
        <v>82</v>
      </c>
      <c r="F156" s="14"/>
      <c r="G156" s="15"/>
      <c r="H156" s="15"/>
      <c r="I156" s="10"/>
      <c r="U156" s="10"/>
    </row>
    <row r="157" ht="15.75" customHeight="1">
      <c r="A157" s="4" t="s">
        <v>696</v>
      </c>
      <c r="B157" s="20" t="str">
        <f t="array" ref="B157">XLOOKUP(A157,'Employee Record'!$M$2:$M$201,'Employee Record'!$E$2:$E$201)</f>
        <v>Sales Manager</v>
      </c>
      <c r="C157" s="26">
        <f t="array" ref="C157">INDEX('Employee Record'!$F$2:$F$201,MATCH('Employee Record'!M157,'Employee Record'!$M$2:$M$201,0))</f>
        <v>68</v>
      </c>
      <c r="F157" s="14"/>
      <c r="G157" s="15"/>
      <c r="H157" s="15"/>
      <c r="I157" s="10"/>
      <c r="U157" s="10"/>
    </row>
    <row r="158" ht="15.75" customHeight="1">
      <c r="A158" s="4" t="s">
        <v>697</v>
      </c>
      <c r="B158" s="20" t="str">
        <f t="array" ref="B158">XLOOKUP(A158,'Employee Record'!$M$2:$M$201,'Employee Record'!$E$2:$E$201)</f>
        <v>Developer</v>
      </c>
      <c r="C158" s="26">
        <f t="array" ref="C158">INDEX('Employee Record'!$F$2:$F$201,MATCH('Employee Record'!M158,'Employee Record'!$M$2:$M$201,0))</f>
        <v>42</v>
      </c>
      <c r="F158" s="14"/>
      <c r="G158" s="15"/>
      <c r="H158" s="15"/>
      <c r="I158" s="10"/>
      <c r="U158" s="10"/>
    </row>
    <row r="159" ht="15.75" customHeight="1">
      <c r="A159" s="4" t="s">
        <v>698</v>
      </c>
      <c r="B159" s="20" t="str">
        <f t="array" ref="B159">XLOOKUP(A159,'Employee Record'!$M$2:$M$201,'Employee Record'!$E$2:$E$201)</f>
        <v>Brand Manager</v>
      </c>
      <c r="C159" s="26">
        <f t="array" ref="C159">INDEX('Employee Record'!$F$2:$F$201,MATCH('Employee Record'!M159,'Employee Record'!$M$2:$M$201,0))</f>
        <v>40</v>
      </c>
      <c r="F159" s="14"/>
      <c r="G159" s="15"/>
      <c r="H159" s="15"/>
      <c r="I159" s="10"/>
      <c r="U159" s="10"/>
    </row>
    <row r="160" ht="15.75" customHeight="1">
      <c r="A160" s="4" t="s">
        <v>699</v>
      </c>
      <c r="B160" s="20" t="str">
        <f t="array" ref="B160">XLOOKUP(A160,'Employee Record'!$M$2:$M$201,'Employee Record'!$E$2:$E$201)</f>
        <v>Accountant</v>
      </c>
      <c r="C160" s="26">
        <f t="array" ref="C160">INDEX('Employee Record'!$F$2:$F$201,MATCH('Employee Record'!M160,'Employee Record'!$M$2:$M$201,0))</f>
        <v>76</v>
      </c>
      <c r="F160" s="14"/>
      <c r="G160" s="15"/>
      <c r="H160" s="15"/>
      <c r="I160" s="10"/>
      <c r="U160" s="10"/>
    </row>
    <row r="161" ht="15.75" customHeight="1">
      <c r="A161" s="4" t="s">
        <v>700</v>
      </c>
      <c r="B161" s="20" t="str">
        <f t="array" ref="B161">XLOOKUP(A161,'Employee Record'!$M$2:$M$201,'Employee Record'!$E$2:$E$201)</f>
        <v>System Admin</v>
      </c>
      <c r="C161" s="26">
        <f t="array" ref="C161">INDEX('Employee Record'!$F$2:$F$201,MATCH('Employee Record'!M161,'Employee Record'!$M$2:$M$201,0))</f>
        <v>57</v>
      </c>
      <c r="F161" s="14"/>
      <c r="G161" s="15"/>
      <c r="H161" s="15"/>
      <c r="I161" s="10"/>
      <c r="U161" s="10"/>
    </row>
    <row r="162" ht="15.75" customHeight="1">
      <c r="A162" s="4" t="s">
        <v>701</v>
      </c>
      <c r="B162" s="20" t="str">
        <f t="array" ref="B162">XLOOKUP(A162,'Employee Record'!$M$2:$M$201,'Employee Record'!$E$2:$E$201)</f>
        <v>IT Support</v>
      </c>
      <c r="C162" s="26">
        <f t="array" ref="C162">INDEX('Employee Record'!$F$2:$F$201,MATCH('Employee Record'!M162,'Employee Record'!$M$2:$M$201,0))</f>
        <v>88</v>
      </c>
      <c r="F162" s="14"/>
      <c r="G162" s="15"/>
      <c r="H162" s="15"/>
      <c r="I162" s="10"/>
      <c r="U162" s="10"/>
    </row>
    <row r="163" ht="15.75" customHeight="1">
      <c r="A163" s="4" t="s">
        <v>702</v>
      </c>
      <c r="B163" s="20" t="str">
        <f t="array" ref="B163">XLOOKUP(A163,'Employee Record'!$M$2:$M$201,'Employee Record'!$E$2:$E$201)</f>
        <v>Financial Analyst</v>
      </c>
      <c r="C163" s="26">
        <f t="array" ref="C163">INDEX('Employee Record'!$F$2:$F$201,MATCH('Employee Record'!M163,'Employee Record'!$M$2:$M$201,0))</f>
        <v>48</v>
      </c>
      <c r="F163" s="14"/>
      <c r="G163" s="15"/>
      <c r="H163" s="15"/>
      <c r="I163" s="10"/>
      <c r="U163" s="10"/>
    </row>
    <row r="164" ht="15.75" customHeight="1">
      <c r="A164" s="4" t="s">
        <v>703</v>
      </c>
      <c r="B164" s="20" t="str">
        <f t="array" ref="B164">XLOOKUP(A164,'Employee Record'!$M$2:$M$201,'Employee Record'!$E$2:$E$201)</f>
        <v>Accountant</v>
      </c>
      <c r="C164" s="26">
        <f t="array" ref="C164">INDEX('Employee Record'!$F$2:$F$201,MATCH('Employee Record'!M164,'Employee Record'!$M$2:$M$201,0))</f>
        <v>75</v>
      </c>
      <c r="F164" s="14"/>
      <c r="G164" s="15"/>
      <c r="H164" s="15"/>
      <c r="I164" s="10"/>
      <c r="U164" s="10"/>
    </row>
    <row r="165" ht="15.75" customHeight="1">
      <c r="A165" s="4" t="s">
        <v>704</v>
      </c>
      <c r="B165" s="20" t="str">
        <f t="array" ref="B165">XLOOKUP(A165,'Employee Record'!$M$2:$M$201,'Employee Record'!$E$2:$E$201)</f>
        <v>Financial Analyst</v>
      </c>
      <c r="C165" s="26">
        <f t="array" ref="C165">INDEX('Employee Record'!$F$2:$F$201,MATCH('Employee Record'!M165,'Employee Record'!$M$2:$M$201,0))</f>
        <v>67</v>
      </c>
      <c r="F165" s="14"/>
      <c r="G165" s="15"/>
      <c r="H165" s="15"/>
      <c r="I165" s="10"/>
      <c r="U165" s="10"/>
    </row>
    <row r="166" ht="15.75" customHeight="1">
      <c r="A166" s="4" t="s">
        <v>705</v>
      </c>
      <c r="B166" s="20" t="str">
        <f t="array" ref="B166">XLOOKUP(A166,'Employee Record'!$M$2:$M$201,'Employee Record'!$E$2:$E$201)</f>
        <v>Brand Manager</v>
      </c>
      <c r="C166" s="26">
        <f t="array" ref="C166">INDEX('Employee Record'!$F$2:$F$201,MATCH('Employee Record'!M166,'Employee Record'!$M$2:$M$201,0))</f>
        <v>69</v>
      </c>
      <c r="F166" s="14"/>
      <c r="G166" s="15"/>
      <c r="H166" s="15"/>
      <c r="I166" s="10"/>
      <c r="U166" s="10"/>
    </row>
    <row r="167" ht="15.75" customHeight="1">
      <c r="A167" s="4" t="s">
        <v>706</v>
      </c>
      <c r="B167" s="20" t="str">
        <f t="array" ref="B167">XLOOKUP(A167,'Employee Record'!$M$2:$M$201,'Employee Record'!$E$2:$E$201)</f>
        <v>Sales Manager</v>
      </c>
      <c r="C167" s="26">
        <f t="array" ref="C167">INDEX('Employee Record'!$F$2:$F$201,MATCH('Employee Record'!M167,'Employee Record'!$M$2:$M$201,0))</f>
        <v>32</v>
      </c>
      <c r="F167" s="14"/>
      <c r="G167" s="15"/>
      <c r="H167" s="15"/>
      <c r="I167" s="10"/>
      <c r="U167" s="10"/>
    </row>
    <row r="168" ht="15.75" customHeight="1">
      <c r="A168" s="4" t="s">
        <v>707</v>
      </c>
      <c r="B168" s="20" t="str">
        <f t="array" ref="B168">XLOOKUP(A168,'Employee Record'!$M$2:$M$201,'Employee Record'!$E$2:$E$201)</f>
        <v>Brand Manager</v>
      </c>
      <c r="C168" s="26">
        <f t="array" ref="C168">INDEX('Employee Record'!$F$2:$F$201,MATCH('Employee Record'!M168,'Employee Record'!$M$2:$M$201,0))</f>
        <v>74</v>
      </c>
      <c r="F168" s="14"/>
      <c r="G168" s="15"/>
      <c r="H168" s="15"/>
      <c r="I168" s="10"/>
      <c r="U168" s="10"/>
    </row>
    <row r="169" ht="15.75" customHeight="1">
      <c r="A169" s="4" t="s">
        <v>708</v>
      </c>
      <c r="B169" s="20" t="str">
        <f t="array" ref="B169">XLOOKUP(A169,'Employee Record'!$M$2:$M$201,'Employee Record'!$E$2:$E$201)</f>
        <v>Marketing Officer</v>
      </c>
      <c r="C169" s="26">
        <f t="array" ref="C169">INDEX('Employee Record'!$F$2:$F$201,MATCH('Employee Record'!M169,'Employee Record'!$M$2:$M$201,0))</f>
        <v>89</v>
      </c>
      <c r="F169" s="14"/>
      <c r="G169" s="15"/>
      <c r="H169" s="15"/>
      <c r="I169" s="10"/>
      <c r="U169" s="10"/>
    </row>
    <row r="170" ht="15.75" customHeight="1">
      <c r="A170" s="4" t="s">
        <v>709</v>
      </c>
      <c r="B170" s="20" t="str">
        <f t="array" ref="B170">XLOOKUP(A170,'Employee Record'!$M$2:$M$201,'Employee Record'!$E$2:$E$201)</f>
        <v>HR Manager</v>
      </c>
      <c r="C170" s="26">
        <f t="array" ref="C170">INDEX('Employee Record'!$F$2:$F$201,MATCH('Employee Record'!M170,'Employee Record'!$M$2:$M$201,0))</f>
        <v>83</v>
      </c>
      <c r="F170" s="14"/>
      <c r="G170" s="15"/>
      <c r="H170" s="15"/>
      <c r="I170" s="10"/>
      <c r="U170" s="10"/>
    </row>
    <row r="171" ht="15.75" customHeight="1">
      <c r="A171" s="4" t="s">
        <v>710</v>
      </c>
      <c r="B171" s="20" t="str">
        <f t="array" ref="B171">XLOOKUP(A171,'Employee Record'!$M$2:$M$201,'Employee Record'!$E$2:$E$201)</f>
        <v>Developer</v>
      </c>
      <c r="C171" s="26">
        <f t="array" ref="C171">INDEX('Employee Record'!$F$2:$F$201,MATCH('Employee Record'!M171,'Employee Record'!$M$2:$M$201,0))</f>
        <v>45</v>
      </c>
      <c r="F171" s="14"/>
      <c r="G171" s="15"/>
      <c r="H171" s="15"/>
      <c r="I171" s="10"/>
      <c r="U171" s="10"/>
    </row>
    <row r="172" ht="15.75" customHeight="1">
      <c r="A172" s="4" t="s">
        <v>711</v>
      </c>
      <c r="B172" s="20" t="str">
        <f t="array" ref="B172">XLOOKUP(A172,'Employee Record'!$M$2:$M$201,'Employee Record'!$E$2:$E$201)</f>
        <v>HR Assistant</v>
      </c>
      <c r="C172" s="26">
        <f t="array" ref="C172">INDEX('Employee Record'!$F$2:$F$201,MATCH('Employee Record'!M172,'Employee Record'!$M$2:$M$201,0))</f>
        <v>53</v>
      </c>
      <c r="F172" s="14"/>
      <c r="G172" s="15"/>
      <c r="H172" s="15"/>
      <c r="I172" s="10"/>
      <c r="U172" s="10"/>
    </row>
    <row r="173" ht="15.75" customHeight="1">
      <c r="A173" s="4" t="s">
        <v>712</v>
      </c>
      <c r="B173" s="20" t="str">
        <f t="array" ref="B173">XLOOKUP(A173,'Employee Record'!$M$2:$M$201,'Employee Record'!$E$2:$E$201)</f>
        <v>IT Support</v>
      </c>
      <c r="C173" s="26">
        <f t="array" ref="C173">INDEX('Employee Record'!$F$2:$F$201,MATCH('Employee Record'!M173,'Employee Record'!$M$2:$M$201,0))</f>
        <v>67</v>
      </c>
      <c r="F173" s="14"/>
      <c r="G173" s="15"/>
      <c r="H173" s="15"/>
      <c r="I173" s="10"/>
      <c r="U173" s="10"/>
    </row>
    <row r="174" ht="15.75" customHeight="1">
      <c r="A174" s="4" t="s">
        <v>713</v>
      </c>
      <c r="B174" s="20" t="str">
        <f t="array" ref="B174">XLOOKUP(A174,'Employee Record'!$M$2:$M$201,'Employee Record'!$E$2:$E$201)</f>
        <v>Financial Analyst</v>
      </c>
      <c r="C174" s="26">
        <f t="array" ref="C174">INDEX('Employee Record'!$F$2:$F$201,MATCH('Employee Record'!M174,'Employee Record'!$M$2:$M$201,0))</f>
        <v>92</v>
      </c>
      <c r="F174" s="14"/>
      <c r="G174" s="15"/>
      <c r="H174" s="15"/>
      <c r="I174" s="10"/>
      <c r="U174" s="10"/>
    </row>
    <row r="175" ht="15.75" customHeight="1">
      <c r="A175" s="4" t="s">
        <v>714</v>
      </c>
      <c r="B175" s="20" t="str">
        <f t="array" ref="B175">XLOOKUP(A175,'Employee Record'!$M$2:$M$201,'Employee Record'!$E$2:$E$201)</f>
        <v>Brand Manager</v>
      </c>
      <c r="C175" s="26">
        <f t="array" ref="C175">INDEX('Employee Record'!$F$2:$F$201,MATCH('Employee Record'!M175,'Employee Record'!$M$2:$M$201,0))</f>
        <v>56</v>
      </c>
      <c r="F175" s="14"/>
      <c r="G175" s="15"/>
      <c r="H175" s="15"/>
      <c r="I175" s="10"/>
      <c r="U175" s="10"/>
    </row>
    <row r="176" ht="15.75" customHeight="1">
      <c r="A176" s="4" t="s">
        <v>715</v>
      </c>
      <c r="B176" s="20" t="str">
        <f t="array" ref="B176">XLOOKUP(A176,'Employee Record'!$M$2:$M$201,'Employee Record'!$E$2:$E$201)</f>
        <v>Brand Manager</v>
      </c>
      <c r="C176" s="26">
        <f t="array" ref="C176">INDEX('Employee Record'!$F$2:$F$201,MATCH('Employee Record'!M176,'Employee Record'!$M$2:$M$201,0))</f>
        <v>63</v>
      </c>
      <c r="F176" s="14"/>
      <c r="G176" s="15"/>
      <c r="H176" s="15"/>
      <c r="I176" s="10"/>
      <c r="U176" s="10"/>
    </row>
    <row r="177" ht="15.75" customHeight="1">
      <c r="A177" s="4" t="s">
        <v>716</v>
      </c>
      <c r="B177" s="20" t="str">
        <f t="array" ref="B177">XLOOKUP(A177,'Employee Record'!$M$2:$M$201,'Employee Record'!$E$2:$E$201)</f>
        <v>Marketing Officer</v>
      </c>
      <c r="C177" s="26">
        <f t="array" ref="C177">INDEX('Employee Record'!$F$2:$F$201,MATCH('Employee Record'!M177,'Employee Record'!$M$2:$M$201,0))</f>
        <v>42</v>
      </c>
      <c r="F177" s="14"/>
      <c r="G177" s="15"/>
      <c r="H177" s="15"/>
      <c r="I177" s="10"/>
      <c r="U177" s="10"/>
    </row>
    <row r="178" ht="15.75" customHeight="1">
      <c r="A178" s="4" t="s">
        <v>717</v>
      </c>
      <c r="B178" s="20" t="str">
        <f t="array" ref="B178">XLOOKUP(A178,'Employee Record'!$M$2:$M$201,'Employee Record'!$E$2:$E$201)</f>
        <v>HR Assistant</v>
      </c>
      <c r="C178" s="26">
        <f t="array" ref="C178">INDEX('Employee Record'!$F$2:$F$201,MATCH('Employee Record'!M178,'Employee Record'!$M$2:$M$201,0))</f>
        <v>92</v>
      </c>
      <c r="F178" s="14"/>
      <c r="G178" s="15"/>
      <c r="H178" s="15"/>
      <c r="I178" s="10"/>
      <c r="U178" s="10"/>
    </row>
    <row r="179" ht="15.75" customHeight="1">
      <c r="A179" s="4" t="s">
        <v>718</v>
      </c>
      <c r="B179" s="20" t="str">
        <f t="array" ref="B179">XLOOKUP(A179,'Employee Record'!$M$2:$M$201,'Employee Record'!$E$2:$E$201)</f>
        <v>System Admin</v>
      </c>
      <c r="C179" s="26">
        <f t="array" ref="C179">INDEX('Employee Record'!$F$2:$F$201,MATCH('Employee Record'!M179,'Employee Record'!$M$2:$M$201,0))</f>
        <v>34</v>
      </c>
      <c r="F179" s="14"/>
      <c r="G179" s="15"/>
      <c r="H179" s="15"/>
      <c r="I179" s="10"/>
      <c r="U179" s="10"/>
    </row>
    <row r="180" ht="15.75" customHeight="1">
      <c r="A180" s="4" t="s">
        <v>719</v>
      </c>
      <c r="B180" s="20" t="str">
        <f t="array" ref="B180">XLOOKUP(A180,'Employee Record'!$M$2:$M$201,'Employee Record'!$E$2:$E$201)</f>
        <v>HR Manager</v>
      </c>
      <c r="C180" s="26">
        <f t="array" ref="C180">INDEX('Employee Record'!$F$2:$F$201,MATCH('Employee Record'!M180,'Employee Record'!$M$2:$M$201,0))</f>
        <v>93</v>
      </c>
      <c r="F180" s="14"/>
      <c r="G180" s="15"/>
      <c r="H180" s="15"/>
      <c r="I180" s="10"/>
      <c r="U180" s="10"/>
    </row>
    <row r="181" ht="15.75" customHeight="1">
      <c r="A181" s="4" t="s">
        <v>720</v>
      </c>
      <c r="B181" s="20" t="str">
        <f t="array" ref="B181">XLOOKUP(A181,'Employee Record'!$M$2:$M$201,'Employee Record'!$E$2:$E$201)</f>
        <v>HR Manager</v>
      </c>
      <c r="C181" s="26">
        <f t="array" ref="C181">INDEX('Employee Record'!$F$2:$F$201,MATCH('Employee Record'!M181,'Employee Record'!$M$2:$M$201,0))</f>
        <v>68</v>
      </c>
      <c r="F181" s="14"/>
      <c r="G181" s="15"/>
      <c r="H181" s="15"/>
      <c r="I181" s="10"/>
      <c r="U181" s="10"/>
    </row>
    <row r="182" ht="15.75" customHeight="1">
      <c r="A182" s="4" t="s">
        <v>721</v>
      </c>
      <c r="B182" s="20" t="str">
        <f t="array" ref="B182">XLOOKUP(A182,'Employee Record'!$M$2:$M$201,'Employee Record'!$E$2:$E$201)</f>
        <v>Sales Manager</v>
      </c>
      <c r="C182" s="26">
        <f t="array" ref="C182">INDEX('Employee Record'!$F$2:$F$201,MATCH('Employee Record'!M182,'Employee Record'!$M$2:$M$201,0))</f>
        <v>67</v>
      </c>
      <c r="F182" s="14"/>
      <c r="G182" s="15"/>
      <c r="H182" s="15"/>
      <c r="I182" s="10"/>
      <c r="U182" s="10"/>
    </row>
    <row r="183" ht="15.75" customHeight="1">
      <c r="A183" s="4" t="s">
        <v>722</v>
      </c>
      <c r="B183" s="20" t="str">
        <f t="array" ref="B183">XLOOKUP(A183,'Employee Record'!$M$2:$M$201,'Employee Record'!$E$2:$E$201)</f>
        <v>Account Exec</v>
      </c>
      <c r="C183" s="26">
        <f t="array" ref="C183">INDEX('Employee Record'!$F$2:$F$201,MATCH('Employee Record'!M183,'Employee Record'!$M$2:$M$201,0))</f>
        <v>31</v>
      </c>
      <c r="F183" s="14"/>
      <c r="G183" s="15"/>
      <c r="H183" s="15"/>
      <c r="I183" s="10"/>
      <c r="U183" s="10"/>
    </row>
    <row r="184" ht="15.75" customHeight="1">
      <c r="A184" s="4" t="s">
        <v>723</v>
      </c>
      <c r="B184" s="20" t="str">
        <f t="array" ref="B184">XLOOKUP(A184,'Employee Record'!$M$2:$M$201,'Employee Record'!$E$2:$E$201)</f>
        <v>Marketing Officer</v>
      </c>
      <c r="C184" s="26">
        <f t="array" ref="C184">INDEX('Employee Record'!$F$2:$F$201,MATCH('Employee Record'!M184,'Employee Record'!$M$2:$M$201,0))</f>
        <v>31</v>
      </c>
      <c r="F184" s="14"/>
      <c r="G184" s="15"/>
      <c r="H184" s="15"/>
      <c r="I184" s="10"/>
      <c r="U184" s="10"/>
    </row>
    <row r="185" ht="15.75" customHeight="1">
      <c r="A185" s="4" t="s">
        <v>724</v>
      </c>
      <c r="B185" s="20" t="str">
        <f t="array" ref="B185">XLOOKUP(A185,'Employee Record'!$M$2:$M$201,'Employee Record'!$E$2:$E$201)</f>
        <v>Accountant</v>
      </c>
      <c r="C185" s="26">
        <f t="array" ref="C185">INDEX('Employee Record'!$F$2:$F$201,MATCH('Employee Record'!M185,'Employee Record'!$M$2:$M$201,0))</f>
        <v>90</v>
      </c>
      <c r="F185" s="14"/>
      <c r="G185" s="15"/>
      <c r="H185" s="15"/>
      <c r="I185" s="10"/>
      <c r="U185" s="10"/>
    </row>
    <row r="186" ht="15.75" customHeight="1">
      <c r="A186" s="4" t="s">
        <v>725</v>
      </c>
      <c r="B186" s="20" t="str">
        <f t="array" ref="B186">XLOOKUP(A186,'Employee Record'!$M$2:$M$201,'Employee Record'!$E$2:$E$201)</f>
        <v>IT Support</v>
      </c>
      <c r="C186" s="26">
        <f t="array" ref="C186">INDEX('Employee Record'!$F$2:$F$201,MATCH('Employee Record'!M186,'Employee Record'!$M$2:$M$201,0))</f>
        <v>72</v>
      </c>
      <c r="F186" s="14"/>
      <c r="G186" s="15"/>
      <c r="H186" s="15"/>
      <c r="I186" s="10"/>
      <c r="U186" s="10"/>
    </row>
    <row r="187" ht="15.75" customHeight="1">
      <c r="A187" s="4" t="s">
        <v>726</v>
      </c>
      <c r="B187" s="20" t="str">
        <f t="array" ref="B187">XLOOKUP(A187,'Employee Record'!$M$2:$M$201,'Employee Record'!$E$2:$E$201)</f>
        <v>Marketing Officer</v>
      </c>
      <c r="C187" s="26">
        <f t="array" ref="C187">INDEX('Employee Record'!$F$2:$F$201,MATCH('Employee Record'!M187,'Employee Record'!$M$2:$M$201,0))</f>
        <v>41</v>
      </c>
      <c r="F187" s="14"/>
      <c r="G187" s="15"/>
      <c r="H187" s="15"/>
      <c r="I187" s="10"/>
      <c r="U187" s="10"/>
    </row>
    <row r="188" ht="15.75" customHeight="1">
      <c r="A188" s="4" t="s">
        <v>727</v>
      </c>
      <c r="B188" s="20" t="str">
        <f t="array" ref="B188">XLOOKUP(A188,'Employee Record'!$M$2:$M$201,'Employee Record'!$E$2:$E$201)</f>
        <v>Accountant</v>
      </c>
      <c r="C188" s="26">
        <f t="array" ref="C188">INDEX('Employee Record'!$F$2:$F$201,MATCH('Employee Record'!M188,'Employee Record'!$M$2:$M$201,0))</f>
        <v>62</v>
      </c>
      <c r="F188" s="14"/>
      <c r="G188" s="15"/>
      <c r="H188" s="15"/>
      <c r="I188" s="10"/>
      <c r="U188" s="10"/>
    </row>
    <row r="189" ht="15.75" customHeight="1">
      <c r="A189" s="4" t="s">
        <v>728</v>
      </c>
      <c r="B189" s="20" t="str">
        <f t="array" ref="B189">XLOOKUP(A189,'Employee Record'!$M$2:$M$201,'Employee Record'!$E$2:$E$201)</f>
        <v>Accountant</v>
      </c>
      <c r="C189" s="26">
        <f t="array" ref="C189">INDEX('Employee Record'!$F$2:$F$201,MATCH('Employee Record'!M189,'Employee Record'!$M$2:$M$201,0))</f>
        <v>58</v>
      </c>
      <c r="F189" s="14"/>
      <c r="G189" s="15"/>
      <c r="H189" s="15"/>
      <c r="I189" s="10"/>
      <c r="U189" s="10"/>
    </row>
    <row r="190" ht="15.75" customHeight="1">
      <c r="A190" s="4" t="s">
        <v>729</v>
      </c>
      <c r="B190" s="20" t="str">
        <f t="array" ref="B190">XLOOKUP(A190,'Employee Record'!$M$2:$M$201,'Employee Record'!$E$2:$E$201)</f>
        <v>Marketing Officer</v>
      </c>
      <c r="C190" s="26">
        <f t="array" ref="C190">INDEX('Employee Record'!$F$2:$F$201,MATCH('Employee Record'!M190,'Employee Record'!$M$2:$M$201,0))</f>
        <v>31</v>
      </c>
      <c r="F190" s="14"/>
      <c r="G190" s="15"/>
      <c r="H190" s="15"/>
      <c r="I190" s="10"/>
      <c r="U190" s="10"/>
    </row>
    <row r="191" ht="15.75" customHeight="1">
      <c r="A191" s="4" t="s">
        <v>730</v>
      </c>
      <c r="B191" s="20" t="str">
        <f t="array" ref="B191">XLOOKUP(A191,'Employee Record'!$M$2:$M$201,'Employee Record'!$E$2:$E$201)</f>
        <v>Brand Manager</v>
      </c>
      <c r="C191" s="26">
        <f t="array" ref="C191">INDEX('Employee Record'!$F$2:$F$201,MATCH('Employee Record'!M191,'Employee Record'!$M$2:$M$201,0))</f>
        <v>73</v>
      </c>
      <c r="F191" s="14"/>
      <c r="G191" s="15"/>
      <c r="H191" s="15"/>
      <c r="I191" s="10"/>
      <c r="U191" s="10"/>
    </row>
    <row r="192" ht="15.75" customHeight="1">
      <c r="A192" s="4" t="s">
        <v>731</v>
      </c>
      <c r="B192" s="20" t="str">
        <f t="array" ref="B192">XLOOKUP(A192,'Employee Record'!$M$2:$M$201,'Employee Record'!$E$2:$E$201)</f>
        <v>Accountant</v>
      </c>
      <c r="C192" s="26">
        <f t="array" ref="C192">INDEX('Employee Record'!$F$2:$F$201,MATCH('Employee Record'!M192,'Employee Record'!$M$2:$M$201,0))</f>
        <v>45</v>
      </c>
      <c r="F192" s="14"/>
      <c r="G192" s="15"/>
      <c r="H192" s="15"/>
      <c r="I192" s="10"/>
      <c r="U192" s="10"/>
    </row>
    <row r="193" ht="15.75" customHeight="1">
      <c r="A193" s="4" t="s">
        <v>732</v>
      </c>
      <c r="B193" s="20" t="str">
        <f t="array" ref="B193">XLOOKUP(A193,'Employee Record'!$M$2:$M$201,'Employee Record'!$E$2:$E$201)</f>
        <v>HR Assistant</v>
      </c>
      <c r="C193" s="26">
        <f t="array" ref="C193">INDEX('Employee Record'!$F$2:$F$201,MATCH('Employee Record'!M193,'Employee Record'!$M$2:$M$201,0))</f>
        <v>97</v>
      </c>
      <c r="F193" s="14"/>
      <c r="G193" s="15"/>
      <c r="H193" s="15"/>
      <c r="I193" s="10"/>
      <c r="U193" s="10"/>
    </row>
    <row r="194" ht="15.75" customHeight="1">
      <c r="A194" s="4" t="s">
        <v>733</v>
      </c>
      <c r="B194" s="20" t="str">
        <f t="array" ref="B194">XLOOKUP(A194,'Employee Record'!$M$2:$M$201,'Employee Record'!$E$2:$E$201)</f>
        <v>HR Assistant</v>
      </c>
      <c r="C194" s="26">
        <f t="array" ref="C194">INDEX('Employee Record'!$F$2:$F$201,MATCH('Employee Record'!M194,'Employee Record'!$M$2:$M$201,0))</f>
        <v>65</v>
      </c>
      <c r="F194" s="14"/>
      <c r="G194" s="15"/>
      <c r="H194" s="15"/>
      <c r="I194" s="10"/>
      <c r="U194" s="10"/>
    </row>
    <row r="195" ht="15.75" customHeight="1">
      <c r="A195" s="4" t="s">
        <v>734</v>
      </c>
      <c r="B195" s="20" t="str">
        <f t="array" ref="B195">XLOOKUP(A195,'Employee Record'!$M$2:$M$201,'Employee Record'!$E$2:$E$201)</f>
        <v>Account Exec</v>
      </c>
      <c r="C195" s="26">
        <f t="array" ref="C195">INDEX('Employee Record'!$F$2:$F$201,MATCH('Employee Record'!M195,'Employee Record'!$M$2:$M$201,0))</f>
        <v>71</v>
      </c>
      <c r="F195" s="14"/>
      <c r="G195" s="15"/>
      <c r="H195" s="15"/>
      <c r="I195" s="10"/>
      <c r="U195" s="10"/>
    </row>
    <row r="196" ht="15.75" customHeight="1">
      <c r="A196" s="4" t="s">
        <v>735</v>
      </c>
      <c r="B196" s="20" t="str">
        <f t="array" ref="B196">XLOOKUP(A196,'Employee Record'!$M$2:$M$201,'Employee Record'!$E$2:$E$201)</f>
        <v>Accountant</v>
      </c>
      <c r="C196" s="26">
        <f t="array" ref="C196">INDEX('Employee Record'!$F$2:$F$201,MATCH('Employee Record'!M196,'Employee Record'!$M$2:$M$201,0))</f>
        <v>62</v>
      </c>
      <c r="F196" s="14"/>
      <c r="G196" s="15"/>
      <c r="H196" s="15"/>
      <c r="I196" s="10"/>
      <c r="U196" s="10"/>
    </row>
    <row r="197" ht="15.75" customHeight="1">
      <c r="A197" s="4" t="s">
        <v>736</v>
      </c>
      <c r="B197" s="20" t="str">
        <f t="array" ref="B197">XLOOKUP(A197,'Employee Record'!$M$2:$M$201,'Employee Record'!$E$2:$E$201)</f>
        <v>Account Exec</v>
      </c>
      <c r="C197" s="26">
        <f t="array" ref="C197">INDEX('Employee Record'!$F$2:$F$201,MATCH('Employee Record'!M197,'Employee Record'!$M$2:$M$201,0))</f>
        <v>83</v>
      </c>
      <c r="F197" s="14"/>
      <c r="G197" s="15"/>
      <c r="H197" s="15"/>
      <c r="I197" s="10"/>
      <c r="U197" s="10"/>
    </row>
    <row r="198" ht="15.75" customHeight="1">
      <c r="A198" s="4" t="s">
        <v>737</v>
      </c>
      <c r="B198" s="20" t="str">
        <f t="array" ref="B198">XLOOKUP(A198,'Employee Record'!$M$2:$M$201,'Employee Record'!$E$2:$E$201)</f>
        <v>Account Exec</v>
      </c>
      <c r="C198" s="26">
        <f t="array" ref="C198">INDEX('Employee Record'!$F$2:$F$201,MATCH('Employee Record'!M198,'Employee Record'!$M$2:$M$201,0))</f>
        <v>95</v>
      </c>
      <c r="F198" s="14"/>
      <c r="G198" s="15"/>
      <c r="H198" s="15"/>
      <c r="I198" s="10"/>
      <c r="U198" s="10"/>
    </row>
    <row r="199" ht="15.75" customHeight="1">
      <c r="A199" s="4" t="s">
        <v>738</v>
      </c>
      <c r="B199" s="20" t="str">
        <f t="array" ref="B199">XLOOKUP(A199,'Employee Record'!$M$2:$M$201,'Employee Record'!$E$2:$E$201)</f>
        <v>Brand Manager</v>
      </c>
      <c r="C199" s="26">
        <f t="array" ref="C199">INDEX('Employee Record'!$F$2:$F$201,MATCH('Employee Record'!M199,'Employee Record'!$M$2:$M$201,0))</f>
        <v>44</v>
      </c>
      <c r="F199" s="14"/>
      <c r="G199" s="15"/>
      <c r="H199" s="15"/>
      <c r="I199" s="10"/>
      <c r="U199" s="10"/>
    </row>
    <row r="200" ht="15.75" customHeight="1">
      <c r="A200" s="4" t="s">
        <v>739</v>
      </c>
      <c r="B200" s="20" t="str">
        <f t="array" ref="B200">XLOOKUP(A200,'Employee Record'!$M$2:$M$201,'Employee Record'!$E$2:$E$201)</f>
        <v>Sales Rep</v>
      </c>
      <c r="C200" s="26">
        <f t="array" ref="C200">INDEX('Employee Record'!$F$2:$F$201,MATCH('Employee Record'!M200,'Employee Record'!$M$2:$M$201,0))</f>
        <v>85</v>
      </c>
      <c r="F200" s="14"/>
      <c r="G200" s="15"/>
      <c r="H200" s="15"/>
      <c r="I200" s="10"/>
      <c r="U200" s="10"/>
    </row>
    <row r="201" ht="15.75" customHeight="1">
      <c r="A201" s="4" t="s">
        <v>740</v>
      </c>
      <c r="B201" s="20" t="str">
        <f t="array" ref="B201">XLOOKUP(A201,'Employee Record'!$M$2:$M$201,'Employee Record'!$E$2:$E$201)</f>
        <v>Marketing Officer</v>
      </c>
      <c r="C201" s="26">
        <f t="array" ref="C201">INDEX('Employee Record'!$F$2:$F$201,MATCH('Employee Record'!M201,'Employee Record'!$M$2:$M$201,0))</f>
        <v>45</v>
      </c>
      <c r="F201" s="14"/>
      <c r="G201" s="15"/>
      <c r="H201" s="15"/>
      <c r="I201" s="10"/>
      <c r="U201" s="10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2025-10-21T15:36:28Z</dcterms:created>
  <dc:creator>USER</dc:creator>
</cp:coreProperties>
</file>